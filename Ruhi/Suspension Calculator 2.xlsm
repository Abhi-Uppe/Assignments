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182e923a74dd27c/文档/My Files/Monal NITK/"/>
    </mc:Choice>
  </mc:AlternateContent>
  <xr:revisionPtr revIDLastSave="125" documentId="8_{65E40F2B-6A0A-4CA8-8E51-1DE4BFA98141}" xr6:coauthVersionLast="47" xr6:coauthVersionMax="47" xr10:uidLastSave="{709DA680-1F9E-4BA8-91F2-1681D6E3FCFA}"/>
  <bookViews>
    <workbookView xWindow="-108" yWindow="-108" windowWidth="23256" windowHeight="12456" xr2:uid="{AC0CF5BC-F6A0-40D8-93E5-A01BAB86A4E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12" i="1" l="1" a="1"/>
  <c r="V112" i="1" s="1"/>
  <c r="W112" i="1" a="1"/>
  <c r="W112" i="1"/>
  <c r="X112" i="1" a="1"/>
  <c r="X112" i="1"/>
  <c r="Y112" i="1" a="1"/>
  <c r="Y112" i="1" s="1"/>
  <c r="Z112" i="1" a="1"/>
  <c r="Z112" i="1"/>
  <c r="U112" i="1" a="1"/>
  <c r="U112" i="1" s="1"/>
  <c r="V111" i="1" a="1"/>
  <c r="V111" i="1"/>
  <c r="W111" i="1" a="1"/>
  <c r="W111" i="1" s="1"/>
  <c r="X111" i="1" a="1"/>
  <c r="X111" i="1"/>
  <c r="Y111" i="1" a="1"/>
  <c r="Y111" i="1"/>
  <c r="Z111" i="1" a="1"/>
  <c r="Z111" i="1"/>
  <c r="U111" i="1" a="1"/>
  <c r="U111" i="1" s="1"/>
  <c r="V110" i="1" a="1"/>
  <c r="V110" i="1" s="1"/>
  <c r="W110" i="1" a="1"/>
  <c r="W110" i="1" s="1"/>
  <c r="X110" i="1" a="1"/>
  <c r="X110" i="1" s="1"/>
  <c r="Y110" i="1" a="1"/>
  <c r="Y110" i="1"/>
  <c r="Z110" i="1" a="1"/>
  <c r="Z110" i="1"/>
  <c r="U110" i="1" a="1"/>
  <c r="U110" i="1" s="1"/>
  <c r="V109" i="1" a="1"/>
  <c r="V109" i="1" s="1"/>
  <c r="W109" i="1" a="1"/>
  <c r="W109" i="1" s="1"/>
  <c r="X109" i="1" a="1"/>
  <c r="X109" i="1"/>
  <c r="Y109" i="1" a="1"/>
  <c r="Y109" i="1"/>
  <c r="Z109" i="1" a="1"/>
  <c r="Z109" i="1"/>
  <c r="U109" i="1" a="1"/>
  <c r="U109" i="1" s="1"/>
  <c r="E23" i="1" a="1"/>
  <c r="E23" i="1" s="1"/>
  <c r="E48" i="1" s="1"/>
  <c r="C61" i="1" a="1"/>
  <c r="C61" i="1"/>
  <c r="E61" i="1"/>
  <c r="C62" i="1" a="1"/>
  <c r="C62" i="1"/>
  <c r="D62" i="1"/>
  <c r="C60" i="1" a="1"/>
  <c r="E58" i="1"/>
  <c r="E62" i="1" s="1"/>
  <c r="P105" i="1"/>
  <c r="I89" i="1" a="1"/>
  <c r="I89" i="1"/>
  <c r="J89" i="1" a="1"/>
  <c r="J89" i="1"/>
  <c r="L89" i="1"/>
  <c r="M89" i="1"/>
  <c r="P89" i="1" a="1"/>
  <c r="P89" i="1" s="1"/>
  <c r="K89" i="1" s="1"/>
  <c r="I90" i="1" a="1"/>
  <c r="I90" i="1"/>
  <c r="P90" i="1" s="1" a="1"/>
  <c r="P90" i="1" s="1"/>
  <c r="K90" i="1" s="1"/>
  <c r="J90" i="1" a="1"/>
  <c r="J90" i="1"/>
  <c r="L90" i="1"/>
  <c r="M90" i="1"/>
  <c r="I91" i="1" a="1"/>
  <c r="I91" i="1"/>
  <c r="P91" i="1" s="1" a="1"/>
  <c r="P91" i="1" s="1"/>
  <c r="K91" i="1" s="1"/>
  <c r="J91" i="1" a="1"/>
  <c r="J91" i="1"/>
  <c r="L91" i="1"/>
  <c r="M91" i="1"/>
  <c r="I92" i="1" a="1"/>
  <c r="I92" i="1" s="1"/>
  <c r="P92" i="1" s="1" a="1"/>
  <c r="P92" i="1" s="1"/>
  <c r="K92" i="1" s="1"/>
  <c r="J92" i="1" a="1"/>
  <c r="J92" i="1"/>
  <c r="L92" i="1"/>
  <c r="M92" i="1"/>
  <c r="I93" i="1" a="1"/>
  <c r="I93" i="1"/>
  <c r="P93" i="1" s="1" a="1"/>
  <c r="P93" i="1" s="1"/>
  <c r="K93" i="1" s="1"/>
  <c r="J93" i="1" a="1"/>
  <c r="J93" i="1"/>
  <c r="L93" i="1"/>
  <c r="M93" i="1"/>
  <c r="I94" i="1" a="1"/>
  <c r="I94" i="1"/>
  <c r="J94" i="1" a="1"/>
  <c r="J94" i="1" s="1"/>
  <c r="P94" i="1" s="1" a="1"/>
  <c r="P94" i="1" s="1"/>
  <c r="K94" i="1" s="1"/>
  <c r="L94" i="1"/>
  <c r="M94" i="1"/>
  <c r="I95" i="1" a="1"/>
  <c r="I95" i="1" s="1"/>
  <c r="P95" i="1" s="1" a="1"/>
  <c r="P95" i="1" s="1"/>
  <c r="K95" i="1" s="1"/>
  <c r="J95" i="1" a="1"/>
  <c r="J95" i="1"/>
  <c r="L95" i="1"/>
  <c r="M95" i="1"/>
  <c r="I96" i="1" a="1"/>
  <c r="I96" i="1"/>
  <c r="J96" i="1" a="1"/>
  <c r="J96" i="1"/>
  <c r="L96" i="1"/>
  <c r="M96" i="1"/>
  <c r="P96" i="1" a="1"/>
  <c r="P96" i="1"/>
  <c r="K96" i="1" s="1"/>
  <c r="I97" i="1" a="1"/>
  <c r="I97" i="1" s="1"/>
  <c r="P97" i="1" s="1" a="1"/>
  <c r="P97" i="1" s="1"/>
  <c r="K97" i="1" s="1"/>
  <c r="J97" i="1" a="1"/>
  <c r="J97" i="1" s="1"/>
  <c r="L97" i="1"/>
  <c r="M97" i="1"/>
  <c r="I98" i="1" a="1"/>
  <c r="I98" i="1"/>
  <c r="P98" i="1" s="1" a="1"/>
  <c r="P98" i="1" s="1"/>
  <c r="K98" i="1" s="1"/>
  <c r="J98" i="1" a="1"/>
  <c r="J98" i="1"/>
  <c r="L98" i="1"/>
  <c r="M98" i="1"/>
  <c r="I99" i="1" a="1"/>
  <c r="I99" i="1"/>
  <c r="J99" i="1" a="1"/>
  <c r="J99" i="1" s="1"/>
  <c r="L99" i="1"/>
  <c r="M99" i="1"/>
  <c r="I100" i="1" a="1"/>
  <c r="I100" i="1"/>
  <c r="P100" i="1" s="1" a="1"/>
  <c r="P100" i="1" s="1"/>
  <c r="K100" i="1" s="1"/>
  <c r="J100" i="1" a="1"/>
  <c r="J100" i="1"/>
  <c r="L100" i="1"/>
  <c r="M100" i="1"/>
  <c r="I101" i="1" a="1"/>
  <c r="I101" i="1"/>
  <c r="P101" i="1" s="1" a="1"/>
  <c r="P101" i="1" s="1"/>
  <c r="K101" i="1" s="1"/>
  <c r="J101" i="1" a="1"/>
  <c r="J101" i="1"/>
  <c r="L101" i="1"/>
  <c r="M101" i="1"/>
  <c r="I102" i="1" a="1"/>
  <c r="I102" i="1"/>
  <c r="P102" i="1" s="1" a="1"/>
  <c r="P102" i="1" s="1"/>
  <c r="K102" i="1" s="1"/>
  <c r="J102" i="1" a="1"/>
  <c r="J102" i="1"/>
  <c r="L102" i="1"/>
  <c r="M102" i="1"/>
  <c r="I103" i="1" a="1"/>
  <c r="I103" i="1"/>
  <c r="P103" i="1" s="1" a="1"/>
  <c r="P103" i="1" s="1"/>
  <c r="K103" i="1" s="1"/>
  <c r="J103" i="1" a="1"/>
  <c r="J103" i="1"/>
  <c r="L103" i="1"/>
  <c r="M103" i="1"/>
  <c r="I104" i="1" a="1"/>
  <c r="I104" i="1"/>
  <c r="P104" i="1" s="1" a="1"/>
  <c r="P104" i="1" s="1"/>
  <c r="K104" i="1" s="1"/>
  <c r="J104" i="1" a="1"/>
  <c r="J104" i="1"/>
  <c r="L104" i="1"/>
  <c r="M104" i="1"/>
  <c r="I105" i="1" a="1"/>
  <c r="I105" i="1"/>
  <c r="K105" i="1" s="1"/>
  <c r="J105" i="1" a="1"/>
  <c r="J105" i="1"/>
  <c r="L105" i="1"/>
  <c r="M105" i="1"/>
  <c r="I106" i="1" a="1"/>
  <c r="I106" i="1"/>
  <c r="J106" i="1" a="1"/>
  <c r="J106" i="1"/>
  <c r="L106" i="1"/>
  <c r="M106" i="1"/>
  <c r="P106" i="1" a="1"/>
  <c r="P106" i="1" s="1"/>
  <c r="K106" i="1" s="1"/>
  <c r="P107" i="1" a="1"/>
  <c r="P107" i="1" s="1"/>
  <c r="K107" i="1" s="1"/>
  <c r="J107" i="1" a="1"/>
  <c r="J107" i="1"/>
  <c r="L107" i="1"/>
  <c r="M107" i="1"/>
  <c r="I108" i="1" a="1"/>
  <c r="I108" i="1"/>
  <c r="L108" i="1"/>
  <c r="M108" i="1"/>
  <c r="P108" i="1" a="1"/>
  <c r="P108" i="1"/>
  <c r="K108" i="1" s="1"/>
  <c r="O88" i="1"/>
  <c r="D57" i="1" s="1" a="1"/>
  <c r="D57" i="1" s="1"/>
  <c r="L69" i="1" s="1"/>
  <c r="N88" i="1"/>
  <c r="L88" i="1"/>
  <c r="M88" i="1"/>
  <c r="K88" i="1"/>
  <c r="P88" i="1" a="1"/>
  <c r="P88" i="1" s="1"/>
  <c r="J88" i="1" a="1"/>
  <c r="J88" i="1"/>
  <c r="I88" i="1" a="1"/>
  <c r="I88" i="1" s="1"/>
  <c r="L71" i="1" a="1"/>
  <c r="L72" i="1" a="1"/>
  <c r="L73" i="1" a="1"/>
  <c r="C56" i="1" a="1"/>
  <c r="C56" i="1" s="1"/>
  <c r="L68" i="1" s="1"/>
  <c r="C49" i="1"/>
  <c r="D49" i="1"/>
  <c r="E49" i="1"/>
  <c r="C50" i="1"/>
  <c r="D50" i="1"/>
  <c r="E50" i="1"/>
  <c r="D48" i="1"/>
  <c r="C48" i="1"/>
  <c r="C42" i="1"/>
  <c r="D42" i="1"/>
  <c r="E42" i="1"/>
  <c r="C43" i="1"/>
  <c r="D43" i="1"/>
  <c r="E43" i="1"/>
  <c r="C44" i="1"/>
  <c r="D44" i="1"/>
  <c r="E44" i="1"/>
  <c r="C45" i="1"/>
  <c r="D45" i="1"/>
  <c r="E45" i="1"/>
  <c r="C46" i="1"/>
  <c r="D46" i="1"/>
  <c r="E46" i="1"/>
  <c r="D41" i="1"/>
  <c r="E41" i="1"/>
  <c r="C41" i="1"/>
  <c r="K75" i="1"/>
  <c r="K71" i="1" s="1"/>
  <c r="C30" i="1" a="1"/>
  <c r="C34" i="1" a="1"/>
  <c r="C29" i="1" a="1"/>
  <c r="C32" i="1" a="1"/>
  <c r="C33" i="1" a="1"/>
  <c r="C31" i="1" a="1"/>
  <c r="C60" i="1" l="1"/>
  <c r="D61" i="1"/>
  <c r="E60" i="1"/>
  <c r="L73" i="1" s="1"/>
  <c r="D60" i="1"/>
  <c r="L70" i="1"/>
  <c r="O95" i="1"/>
  <c r="N95" i="1"/>
  <c r="N97" i="1"/>
  <c r="O97" i="1"/>
  <c r="N103" i="1"/>
  <c r="O103" i="1"/>
  <c r="P99" i="1" a="1"/>
  <c r="P99" i="1" s="1"/>
  <c r="K99" i="1" s="1"/>
  <c r="O107" i="1"/>
  <c r="N107" i="1"/>
  <c r="N101" i="1"/>
  <c r="O101" i="1"/>
  <c r="N94" i="1"/>
  <c r="O94" i="1"/>
  <c r="O92" i="1"/>
  <c r="N92" i="1"/>
  <c r="N89" i="1"/>
  <c r="O89" i="1"/>
  <c r="O98" i="1"/>
  <c r="N98" i="1"/>
  <c r="O96" i="1"/>
  <c r="N96" i="1"/>
  <c r="O108" i="1"/>
  <c r="N108" i="1"/>
  <c r="O105" i="1"/>
  <c r="N105" i="1"/>
  <c r="N106" i="1"/>
  <c r="O106" i="1"/>
  <c r="N90" i="1"/>
  <c r="O90" i="1"/>
  <c r="O104" i="1"/>
  <c r="N104" i="1"/>
  <c r="N102" i="1"/>
  <c r="O102" i="1"/>
  <c r="O100" i="1"/>
  <c r="N100" i="1"/>
  <c r="N91" i="1"/>
  <c r="O91" i="1"/>
  <c r="O93" i="1"/>
  <c r="N93" i="1"/>
  <c r="C33" i="1"/>
  <c r="D33" i="1"/>
  <c r="E33" i="1"/>
  <c r="E32" i="1"/>
  <c r="C32" i="1"/>
  <c r="D32" i="1"/>
  <c r="C34" i="1"/>
  <c r="D34" i="1"/>
  <c r="E34" i="1"/>
  <c r="C31" i="1"/>
  <c r="D31" i="1"/>
  <c r="E31" i="1"/>
  <c r="C30" i="1"/>
  <c r="D30" i="1"/>
  <c r="E30" i="1"/>
  <c r="C29" i="1"/>
  <c r="D29" i="1"/>
  <c r="E29" i="1"/>
  <c r="H71" i="1" a="1"/>
  <c r="G71" i="1" a="1"/>
  <c r="D71" i="1" a="1"/>
  <c r="C71" i="1" a="1"/>
  <c r="F71" i="1" a="1"/>
  <c r="E71" i="1" a="1"/>
  <c r="N99" i="1" l="1"/>
  <c r="O99" i="1"/>
  <c r="L71" i="1"/>
  <c r="L72" i="1"/>
  <c r="F72" i="1"/>
  <c r="F73" i="1"/>
  <c r="F71" i="1"/>
  <c r="G71" i="1"/>
  <c r="G72" i="1"/>
  <c r="G73" i="1"/>
  <c r="H71" i="1"/>
  <c r="H73" i="1"/>
  <c r="H72" i="1"/>
  <c r="C71" i="1"/>
  <c r="C72" i="1"/>
  <c r="C73" i="1"/>
  <c r="D72" i="1"/>
  <c r="D73" i="1"/>
  <c r="D71" i="1"/>
  <c r="E72" i="1"/>
  <c r="E71" i="1"/>
  <c r="E73" i="1"/>
  <c r="C68" i="1" a="1"/>
  <c r="O68" i="1" l="1" a="1"/>
  <c r="D68" i="1"/>
  <c r="E69" i="1"/>
  <c r="H70" i="1"/>
  <c r="H68" i="1"/>
  <c r="F68" i="1"/>
  <c r="E68" i="1"/>
  <c r="D69" i="1"/>
  <c r="C70" i="1"/>
  <c r="H69" i="1"/>
  <c r="F70" i="1"/>
  <c r="F69" i="1"/>
  <c r="E70" i="1"/>
  <c r="G68" i="1"/>
  <c r="C68" i="1"/>
  <c r="C69" i="1"/>
  <c r="G70" i="1"/>
  <c r="D70" i="1"/>
  <c r="G69" i="1"/>
  <c r="O69" i="1" l="1"/>
  <c r="O70" i="1"/>
  <c r="O73" i="1"/>
  <c r="O68" i="1"/>
  <c r="U86" i="1" s="1" a="1"/>
  <c r="O71" i="1"/>
  <c r="O72" i="1"/>
  <c r="U86" i="1" l="1"/>
  <c r="Y86" i="1"/>
  <c r="X86" i="1"/>
  <c r="Z86" i="1"/>
  <c r="V86" i="1"/>
  <c r="W86" i="1"/>
</calcChain>
</file>

<file path=xl/sharedStrings.xml><?xml version="1.0" encoding="utf-8"?>
<sst xmlns="http://schemas.openxmlformats.org/spreadsheetml/2006/main" count="169" uniqueCount="90">
  <si>
    <t>Inputs</t>
  </si>
  <si>
    <t>Inboard (P1)</t>
  </si>
  <si>
    <t>x</t>
  </si>
  <si>
    <t>y</t>
  </si>
  <si>
    <t>z</t>
  </si>
  <si>
    <t>Up-Fore</t>
  </si>
  <si>
    <t>Up-Aft</t>
  </si>
  <si>
    <t>Low-Fore</t>
  </si>
  <si>
    <t>Low-Aft</t>
  </si>
  <si>
    <t>Push/Pull</t>
  </si>
  <si>
    <t>Tie/Toe</t>
  </si>
  <si>
    <t>Outboard (P2)</t>
  </si>
  <si>
    <t>Location of applied forces from tire on the ground</t>
  </si>
  <si>
    <t>Fx</t>
  </si>
  <si>
    <t>Fy</t>
  </si>
  <si>
    <t>Fz</t>
  </si>
  <si>
    <t>Calculations</t>
  </si>
  <si>
    <t>Unit Vectors</t>
  </si>
  <si>
    <t>Moment arm (distance to moment centre)</t>
  </si>
  <si>
    <t>Moment centre</t>
  </si>
  <si>
    <t>Applied Forces</t>
  </si>
  <si>
    <t>Force Vectors</t>
  </si>
  <si>
    <t>Loadcase #:</t>
  </si>
  <si>
    <t>Mx</t>
  </si>
  <si>
    <t>My</t>
  </si>
  <si>
    <t>Mz</t>
  </si>
  <si>
    <t>M from Fx</t>
  </si>
  <si>
    <t>M from Fy</t>
  </si>
  <si>
    <t>M from Fz</t>
  </si>
  <si>
    <t>S_Fx</t>
  </si>
  <si>
    <t>S_Fy</t>
  </si>
  <si>
    <t>S_Fz</t>
  </si>
  <si>
    <t>S_Mx</t>
  </si>
  <si>
    <t>S_My</t>
  </si>
  <si>
    <t>S_Mz</t>
  </si>
  <si>
    <t>*</t>
  </si>
  <si>
    <t>F_Up-Fore</t>
  </si>
  <si>
    <t>F_Up-Aft</t>
  </si>
  <si>
    <t>F_Low-Fore</t>
  </si>
  <si>
    <t>F_Low-Aft</t>
  </si>
  <si>
    <t>F_Push/Pull</t>
  </si>
  <si>
    <t>F_Tie/Toe</t>
  </si>
  <si>
    <t>A</t>
  </si>
  <si>
    <t>X</t>
  </si>
  <si>
    <t>b</t>
  </si>
  <si>
    <t>X = A-1*b</t>
  </si>
  <si>
    <t>m</t>
  </si>
  <si>
    <t>h_CG</t>
  </si>
  <si>
    <t>m_C+D</t>
  </si>
  <si>
    <t>Track</t>
  </si>
  <si>
    <t>Wheelbase</t>
  </si>
  <si>
    <t>r_tireLoaded</t>
  </si>
  <si>
    <t>kg</t>
  </si>
  <si>
    <t>Loadcase Name</t>
  </si>
  <si>
    <t>Failure Mode</t>
  </si>
  <si>
    <t>Long G</t>
  </si>
  <si>
    <t>Lat G</t>
  </si>
  <si>
    <t>Velocity</t>
  </si>
  <si>
    <t>Aero Down</t>
  </si>
  <si>
    <t>Aero Drag</t>
  </si>
  <si>
    <t>WT_lateral</t>
  </si>
  <si>
    <t>WT_long</t>
  </si>
  <si>
    <t>Fz_%</t>
  </si>
  <si>
    <t>Fx_car</t>
  </si>
  <si>
    <t>Fy_car</t>
  </si>
  <si>
    <t>Fx added height for driveshafts</t>
  </si>
  <si>
    <t>None</t>
  </si>
  <si>
    <t>Static</t>
  </si>
  <si>
    <t>Max Braking</t>
  </si>
  <si>
    <t>Max Turn</t>
  </si>
  <si>
    <t>Max Speed</t>
  </si>
  <si>
    <t>Max Accel</t>
  </si>
  <si>
    <t>Combined 1</t>
  </si>
  <si>
    <t>Combined 2</t>
  </si>
  <si>
    <t xml:space="preserve">Combined 2 </t>
  </si>
  <si>
    <t>Max Bump</t>
  </si>
  <si>
    <t>Inside no WT</t>
  </si>
  <si>
    <t>Reverse Braking</t>
  </si>
  <si>
    <t>Fatigue</t>
  </si>
  <si>
    <t>Yield/Buckle</t>
  </si>
  <si>
    <t>Up_Fore</t>
  </si>
  <si>
    <t>Up_Aft</t>
  </si>
  <si>
    <t>Low_Fore</t>
  </si>
  <si>
    <t>Low_Aft</t>
  </si>
  <si>
    <t>Tie Rod</t>
  </si>
  <si>
    <t>Buckling</t>
  </si>
  <si>
    <t>Comp</t>
  </si>
  <si>
    <t>Tens</t>
  </si>
  <si>
    <t>Highest Operating Force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</si>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</sst>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2" tint="-0.249977111117893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8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</cellStyleXfs>
  <cellXfs count="76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wrapText="1"/>
    </xf>
    <xf numFmtId="0" fontId="2" fillId="2" borderId="0" xfId="1" applyAlignment="1">
      <alignment wrapText="1"/>
    </xf>
    <xf numFmtId="0" fontId="2" fillId="2" borderId="0" xfId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8" xfId="0" applyBorder="1" applyAlignment="1">
      <alignment wrapText="1"/>
    </xf>
    <xf numFmtId="0" fontId="5" fillId="0" borderId="0" xfId="0" applyFont="1" applyAlignment="1">
      <alignment wrapText="1"/>
    </xf>
    <xf numFmtId="0" fontId="0" fillId="0" borderId="12" xfId="0" applyBorder="1" applyAlignment="1">
      <alignment wrapText="1"/>
    </xf>
    <xf numFmtId="0" fontId="0" fillId="0" borderId="13" xfId="0" applyBorder="1" applyAlignment="1">
      <alignment wrapText="1"/>
    </xf>
    <xf numFmtId="0" fontId="0" fillId="0" borderId="14" xfId="0" applyBorder="1" applyAlignment="1">
      <alignment wrapText="1"/>
    </xf>
    <xf numFmtId="0" fontId="1" fillId="6" borderId="2" xfId="5" applyBorder="1" applyAlignment="1">
      <alignment horizontal="center" vertical="center" wrapText="1"/>
    </xf>
    <xf numFmtId="0" fontId="1" fillId="6" borderId="3" xfId="5" applyBorder="1" applyAlignment="1">
      <alignment horizontal="center" wrapText="1"/>
    </xf>
    <xf numFmtId="0" fontId="1" fillId="6" borderId="3" xfId="5" applyBorder="1" applyAlignment="1">
      <alignment wrapText="1"/>
    </xf>
    <xf numFmtId="0" fontId="3" fillId="3" borderId="0" xfId="2" applyBorder="1" applyAlignment="1"/>
    <xf numFmtId="0" fontId="4" fillId="4" borderId="0" xfId="3" applyBorder="1" applyAlignment="1">
      <alignment wrapText="1"/>
    </xf>
    <xf numFmtId="0" fontId="4" fillId="4" borderId="0" xfId="3" applyBorder="1" applyAlignment="1"/>
    <xf numFmtId="0" fontId="1" fillId="7" borderId="14" xfId="6" applyBorder="1" applyAlignment="1">
      <alignment wrapText="1"/>
    </xf>
    <xf numFmtId="0" fontId="1" fillId="5" borderId="12" xfId="4" applyBorder="1" applyAlignment="1"/>
    <xf numFmtId="0" fontId="1" fillId="5" borderId="13" xfId="4" applyBorder="1" applyAlignment="1"/>
    <xf numFmtId="0" fontId="1" fillId="5" borderId="14" xfId="4" applyBorder="1" applyAlignment="1"/>
    <xf numFmtId="0" fontId="1" fillId="7" borderId="12" xfId="6" applyBorder="1" applyAlignment="1">
      <alignment wrapText="1"/>
    </xf>
    <xf numFmtId="0" fontId="1" fillId="7" borderId="13" xfId="6" applyBorder="1" applyAlignment="1">
      <alignment wrapText="1"/>
    </xf>
    <xf numFmtId="0" fontId="5" fillId="0" borderId="0" xfId="0" applyFont="1" applyAlignment="1">
      <alignment horizontal="center" vertical="center" wrapText="1"/>
    </xf>
    <xf numFmtId="0" fontId="6" fillId="4" borderId="12" xfId="3" applyFont="1" applyBorder="1" applyAlignment="1">
      <alignment wrapText="1"/>
    </xf>
    <xf numFmtId="0" fontId="6" fillId="4" borderId="4" xfId="3" applyFont="1" applyBorder="1" applyAlignment="1">
      <alignment wrapText="1"/>
    </xf>
    <xf numFmtId="0" fontId="6" fillId="4" borderId="5" xfId="3" applyFont="1" applyBorder="1" applyAlignment="1">
      <alignment wrapText="1"/>
    </xf>
    <xf numFmtId="0" fontId="6" fillId="4" borderId="6" xfId="3" applyFont="1" applyBorder="1" applyAlignment="1">
      <alignment wrapText="1"/>
    </xf>
    <xf numFmtId="0" fontId="6" fillId="4" borderId="13" xfId="3" applyFont="1" applyBorder="1" applyAlignment="1">
      <alignment wrapText="1"/>
    </xf>
    <xf numFmtId="0" fontId="6" fillId="4" borderId="7" xfId="3" applyFont="1" applyBorder="1" applyAlignment="1">
      <alignment wrapText="1"/>
    </xf>
    <xf numFmtId="0" fontId="6" fillId="4" borderId="0" xfId="3" applyFont="1" applyBorder="1" applyAlignment="1">
      <alignment wrapText="1"/>
    </xf>
    <xf numFmtId="0" fontId="6" fillId="4" borderId="8" xfId="3" applyFont="1" applyBorder="1" applyAlignment="1">
      <alignment wrapText="1"/>
    </xf>
    <xf numFmtId="0" fontId="6" fillId="4" borderId="14" xfId="3" applyFont="1" applyBorder="1" applyAlignment="1">
      <alignment wrapText="1"/>
    </xf>
    <xf numFmtId="0" fontId="6" fillId="4" borderId="9" xfId="3" applyFont="1" applyBorder="1" applyAlignment="1">
      <alignment wrapText="1"/>
    </xf>
    <xf numFmtId="0" fontId="6" fillId="4" borderId="10" xfId="3" applyFont="1" applyBorder="1" applyAlignment="1">
      <alignment wrapText="1"/>
    </xf>
    <xf numFmtId="0" fontId="6" fillId="4" borderId="11" xfId="3" applyFont="1" applyBorder="1" applyAlignment="1">
      <alignment wrapText="1"/>
    </xf>
    <xf numFmtId="0" fontId="7" fillId="4" borderId="13" xfId="3" applyFont="1" applyBorder="1" applyAlignment="1">
      <alignment wrapText="1"/>
    </xf>
    <xf numFmtId="0" fontId="7" fillId="4" borderId="7" xfId="3" applyFont="1" applyBorder="1" applyAlignment="1">
      <alignment wrapText="1"/>
    </xf>
    <xf numFmtId="0" fontId="7" fillId="4" borderId="0" xfId="3" applyFont="1" applyBorder="1" applyAlignment="1">
      <alignment wrapText="1"/>
    </xf>
    <xf numFmtId="0" fontId="7" fillId="4" borderId="8" xfId="3" applyFont="1" applyBorder="1" applyAlignment="1">
      <alignment wrapText="1"/>
    </xf>
    <xf numFmtId="0" fontId="8" fillId="0" borderId="0" xfId="0" applyFont="1" applyAlignment="1">
      <alignment wrapText="1"/>
    </xf>
    <xf numFmtId="0" fontId="1" fillId="8" borderId="5" xfId="7" applyBorder="1" applyAlignment="1">
      <alignment wrapText="1"/>
    </xf>
    <xf numFmtId="0" fontId="1" fillId="8" borderId="10" xfId="7" applyBorder="1" applyAlignment="1">
      <alignment wrapText="1"/>
    </xf>
    <xf numFmtId="0" fontId="1" fillId="8" borderId="11" xfId="7" applyBorder="1" applyAlignment="1">
      <alignment wrapText="1"/>
    </xf>
    <xf numFmtId="0" fontId="1" fillId="8" borderId="9" xfId="7" applyBorder="1" applyAlignment="1">
      <alignment wrapText="1"/>
    </xf>
    <xf numFmtId="0" fontId="1" fillId="8" borderId="0" xfId="7" applyBorder="1" applyAlignment="1">
      <alignment wrapText="1"/>
    </xf>
    <xf numFmtId="0" fontId="1" fillId="8" borderId="4" xfId="7" applyBorder="1" applyAlignment="1">
      <alignment wrapText="1"/>
    </xf>
    <xf numFmtId="0" fontId="1" fillId="8" borderId="6" xfId="7" applyBorder="1" applyAlignment="1">
      <alignment wrapText="1"/>
    </xf>
    <xf numFmtId="0" fontId="1" fillId="8" borderId="7" xfId="7" applyBorder="1" applyAlignment="1">
      <alignment wrapText="1"/>
    </xf>
    <xf numFmtId="0" fontId="1" fillId="8" borderId="8" xfId="7" applyBorder="1" applyAlignment="1">
      <alignment wrapText="1"/>
    </xf>
    <xf numFmtId="0" fontId="8" fillId="4" borderId="0" xfId="3" applyFont="1" applyBorder="1" applyAlignment="1">
      <alignment wrapText="1"/>
    </xf>
    <xf numFmtId="0" fontId="5" fillId="0" borderId="3" xfId="0" applyFon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12" xfId="0" applyBorder="1" applyAlignment="1">
      <alignment horizontal="center" wrapText="1"/>
    </xf>
    <xf numFmtId="0" fontId="0" fillId="0" borderId="3" xfId="0" applyBorder="1" applyAlignment="1">
      <alignment horizontal="center" vertical="center" wrapText="1"/>
    </xf>
    <xf numFmtId="0" fontId="4" fillId="4" borderId="15" xfId="3" applyBorder="1" applyAlignment="1">
      <alignment wrapText="1"/>
    </xf>
    <xf numFmtId="0" fontId="4" fillId="4" borderId="16" xfId="3" applyBorder="1" applyAlignment="1">
      <alignment wrapText="1"/>
    </xf>
    <xf numFmtId="0" fontId="4" fillId="4" borderId="17" xfId="3" applyBorder="1" applyAlignment="1">
      <alignment wrapText="1"/>
    </xf>
    <xf numFmtId="0" fontId="1" fillId="6" borderId="4" xfId="5" applyBorder="1" applyAlignment="1">
      <alignment wrapText="1"/>
    </xf>
    <xf numFmtId="0" fontId="1" fillId="6" borderId="5" xfId="5" applyBorder="1" applyAlignment="1">
      <alignment wrapText="1"/>
    </xf>
    <xf numFmtId="0" fontId="1" fillId="6" borderId="6" xfId="5" applyBorder="1" applyAlignment="1">
      <alignment wrapText="1"/>
    </xf>
    <xf numFmtId="0" fontId="1" fillId="6" borderId="7" xfId="5" applyBorder="1" applyAlignment="1">
      <alignment wrapText="1"/>
    </xf>
    <xf numFmtId="0" fontId="1" fillId="6" borderId="0" xfId="5" applyBorder="1" applyAlignment="1">
      <alignment wrapText="1"/>
    </xf>
    <xf numFmtId="0" fontId="1" fillId="6" borderId="8" xfId="5" applyBorder="1" applyAlignment="1">
      <alignment wrapText="1"/>
    </xf>
    <xf numFmtId="0" fontId="1" fillId="6" borderId="9" xfId="5" applyBorder="1" applyAlignment="1">
      <alignment wrapText="1"/>
    </xf>
    <xf numFmtId="0" fontId="1" fillId="6" borderId="10" xfId="5" applyBorder="1" applyAlignment="1">
      <alignment wrapText="1"/>
    </xf>
    <xf numFmtId="0" fontId="1" fillId="6" borderId="11" xfId="5" applyBorder="1" applyAlignment="1">
      <alignment wrapText="1"/>
    </xf>
    <xf numFmtId="0" fontId="0" fillId="0" borderId="0" xfId="0" applyAlignment="1"/>
    <xf numFmtId="0" fontId="0" fillId="0" borderId="9" xfId="0" applyBorder="1" applyAlignment="1">
      <alignment wrapText="1"/>
    </xf>
    <xf numFmtId="0" fontId="0" fillId="0" borderId="11" xfId="0" applyBorder="1" applyAlignment="1">
      <alignment wrapText="1"/>
    </xf>
  </cellXfs>
  <cellStyles count="8">
    <cellStyle name="20% - Accent2" xfId="4" builtinId="34"/>
    <cellStyle name="20% - Accent6" xfId="7" builtinId="50"/>
    <cellStyle name="40% - Accent3" xfId="5" builtinId="39"/>
    <cellStyle name="40% - Accent5" xfId="6" builtinId="47"/>
    <cellStyle name="Bad" xfId="2" builtinId="27"/>
    <cellStyle name="Good" xfId="1" builtinId="26"/>
    <cellStyle name="Input" xfId="3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034BF-C5D3-4E52-B5C1-B7B8B1CFED17}">
  <sheetPr codeName="Sheet1"/>
  <dimension ref="A2:AA112"/>
  <sheetViews>
    <sheetView tabSelected="1" topLeftCell="H87" workbookViewId="0">
      <selection activeCell="U112" sqref="U112:Z112"/>
    </sheetView>
  </sheetViews>
  <sheetFormatPr defaultRowHeight="14.4" x14ac:dyDescent="0.3"/>
  <cols>
    <col min="1" max="1" width="8.88671875" style="1"/>
    <col min="2" max="2" width="14.44140625" style="1" customWidth="1"/>
    <col min="3" max="6" width="12.21875" style="1" bestFit="1" customWidth="1"/>
    <col min="7" max="7" width="11.5546875" style="1" bestFit="1" customWidth="1"/>
    <col min="8" max="8" width="12.21875" style="1" bestFit="1" customWidth="1"/>
    <col min="9" max="9" width="11.77734375" style="1" customWidth="1"/>
    <col min="10" max="10" width="12.21875" style="1" customWidth="1"/>
    <col min="11" max="11" width="9.5546875" style="1" bestFit="1" customWidth="1"/>
    <col min="12" max="12" width="8.88671875" style="1"/>
    <col min="13" max="14" width="9" style="1" bestFit="1" customWidth="1"/>
    <col min="15" max="15" width="12.21875" style="1" bestFit="1" customWidth="1"/>
    <col min="16" max="16" width="9.5546875" style="1" bestFit="1" customWidth="1"/>
    <col min="17" max="17" width="15.5546875" style="1" customWidth="1"/>
    <col min="18" max="20" width="8.88671875" style="1"/>
    <col min="21" max="21" width="12.21875" style="1" bestFit="1" customWidth="1"/>
    <col min="22" max="16384" width="8.88671875" style="1"/>
  </cols>
  <sheetData>
    <row r="2" spans="2:5" x14ac:dyDescent="0.3">
      <c r="C2" s="56" t="s">
        <v>0</v>
      </c>
      <c r="D2" s="56"/>
      <c r="E2" s="56"/>
    </row>
    <row r="3" spans="2:5" x14ac:dyDescent="0.3">
      <c r="C3" s="57" t="s">
        <v>1</v>
      </c>
      <c r="D3" s="57"/>
      <c r="E3" s="57"/>
    </row>
    <row r="4" spans="2:5" x14ac:dyDescent="0.3">
      <c r="C4" s="4" t="s">
        <v>2</v>
      </c>
      <c r="D4" s="4" t="s">
        <v>3</v>
      </c>
      <c r="E4" s="4" t="s">
        <v>4</v>
      </c>
    </row>
    <row r="5" spans="2:5" x14ac:dyDescent="0.3">
      <c r="B5" s="1" t="s">
        <v>5</v>
      </c>
      <c r="C5" s="5">
        <v>-460</v>
      </c>
      <c r="D5" s="5">
        <v>188</v>
      </c>
      <c r="E5" s="5">
        <v>225</v>
      </c>
    </row>
    <row r="6" spans="2:5" x14ac:dyDescent="0.3">
      <c r="B6" s="1" t="s">
        <v>6</v>
      </c>
      <c r="C6" s="5">
        <v>-705</v>
      </c>
      <c r="D6" s="5">
        <v>200</v>
      </c>
      <c r="E6" s="5">
        <v>188</v>
      </c>
    </row>
    <row r="7" spans="2:5" x14ac:dyDescent="0.3">
      <c r="B7" s="1" t="s">
        <v>7</v>
      </c>
      <c r="C7" s="5">
        <v>-530</v>
      </c>
      <c r="D7" s="5">
        <v>225</v>
      </c>
      <c r="E7" s="5">
        <v>65</v>
      </c>
    </row>
    <row r="8" spans="2:5" x14ac:dyDescent="0.3">
      <c r="B8" s="1" t="s">
        <v>8</v>
      </c>
      <c r="C8" s="5">
        <v>-733</v>
      </c>
      <c r="D8" s="5">
        <v>230</v>
      </c>
      <c r="E8" s="5">
        <v>87</v>
      </c>
    </row>
    <row r="9" spans="2:5" x14ac:dyDescent="0.3">
      <c r="B9" s="1" t="s">
        <v>9</v>
      </c>
      <c r="C9" s="5">
        <v>-590</v>
      </c>
      <c r="D9" s="5">
        <v>250</v>
      </c>
      <c r="E9" s="5">
        <v>110</v>
      </c>
    </row>
    <row r="10" spans="2:5" x14ac:dyDescent="0.3">
      <c r="B10" s="1" t="s">
        <v>10</v>
      </c>
      <c r="C10" s="5">
        <v>-500</v>
      </c>
      <c r="D10" s="5">
        <v>130</v>
      </c>
      <c r="E10" s="5">
        <v>180</v>
      </c>
    </row>
    <row r="12" spans="2:5" x14ac:dyDescent="0.3">
      <c r="C12" s="57" t="s">
        <v>11</v>
      </c>
      <c r="D12" s="57"/>
      <c r="E12" s="57"/>
    </row>
    <row r="13" spans="2:5" x14ac:dyDescent="0.3">
      <c r="C13" s="4" t="s">
        <v>2</v>
      </c>
      <c r="D13" s="4" t="s">
        <v>3</v>
      </c>
      <c r="E13" s="4" t="s">
        <v>4</v>
      </c>
    </row>
    <row r="14" spans="2:5" x14ac:dyDescent="0.3">
      <c r="B14" s="1" t="s">
        <v>5</v>
      </c>
      <c r="C14" s="5">
        <v>-610</v>
      </c>
      <c r="D14" s="5">
        <v>505</v>
      </c>
      <c r="E14" s="5">
        <v>352</v>
      </c>
    </row>
    <row r="15" spans="2:5" x14ac:dyDescent="0.3">
      <c r="B15" s="1" t="s">
        <v>6</v>
      </c>
      <c r="C15" s="5">
        <v>-610</v>
      </c>
      <c r="D15" s="5">
        <v>505</v>
      </c>
      <c r="E15" s="5">
        <v>352</v>
      </c>
    </row>
    <row r="16" spans="2:5" x14ac:dyDescent="0.3">
      <c r="B16" s="1" t="s">
        <v>7</v>
      </c>
      <c r="C16" s="5">
        <v>-590</v>
      </c>
      <c r="D16" s="5">
        <v>520</v>
      </c>
      <c r="E16" s="5">
        <v>135</v>
      </c>
    </row>
    <row r="17" spans="2:5" x14ac:dyDescent="0.3">
      <c r="B17" s="1" t="s">
        <v>8</v>
      </c>
      <c r="C17" s="5">
        <v>-590</v>
      </c>
      <c r="D17" s="5">
        <v>520</v>
      </c>
      <c r="E17" s="5">
        <v>135</v>
      </c>
    </row>
    <row r="18" spans="2:5" x14ac:dyDescent="0.3">
      <c r="B18" s="1" t="s">
        <v>9</v>
      </c>
      <c r="C18" s="5">
        <v>-610</v>
      </c>
      <c r="D18" s="5">
        <v>505</v>
      </c>
      <c r="E18" s="5">
        <v>352</v>
      </c>
    </row>
    <row r="19" spans="2:5" x14ac:dyDescent="0.3">
      <c r="B19" s="1" t="s">
        <v>10</v>
      </c>
      <c r="C19" s="5">
        <v>-500</v>
      </c>
      <c r="D19" s="5">
        <v>520</v>
      </c>
      <c r="E19" s="5">
        <v>200</v>
      </c>
    </row>
    <row r="21" spans="2:5" x14ac:dyDescent="0.3">
      <c r="C21" s="60" t="s">
        <v>12</v>
      </c>
      <c r="D21" s="60"/>
      <c r="E21" s="60"/>
    </row>
    <row r="22" spans="2:5" x14ac:dyDescent="0.3">
      <c r="C22" s="60"/>
      <c r="D22" s="60"/>
      <c r="E22" s="60"/>
    </row>
    <row r="23" spans="2:5" x14ac:dyDescent="0.3">
      <c r="B23" s="1" t="s">
        <v>13</v>
      </c>
      <c r="C23" s="6">
        <v>-587</v>
      </c>
      <c r="D23" s="6">
        <v>580</v>
      </c>
      <c r="E23" s="6">
        <f t="array" ref="E23">0+VLOOKUP($C$54, $A$87:$Q$108, 17, FALSE)</f>
        <v>0</v>
      </c>
    </row>
    <row r="24" spans="2:5" x14ac:dyDescent="0.3">
      <c r="B24" s="1" t="s">
        <v>14</v>
      </c>
      <c r="C24" s="6">
        <v>-587</v>
      </c>
      <c r="D24" s="6">
        <v>580</v>
      </c>
      <c r="E24" s="6">
        <v>0</v>
      </c>
    </row>
    <row r="25" spans="2:5" x14ac:dyDescent="0.3">
      <c r="B25" s="1" t="s">
        <v>15</v>
      </c>
      <c r="C25" s="6">
        <v>-587</v>
      </c>
      <c r="D25" s="6">
        <v>580</v>
      </c>
      <c r="E25" s="6">
        <v>0</v>
      </c>
    </row>
    <row r="27" spans="2:5" x14ac:dyDescent="0.3">
      <c r="C27" s="56" t="s">
        <v>16</v>
      </c>
      <c r="D27" s="57"/>
      <c r="E27" s="57"/>
    </row>
    <row r="28" spans="2:5" x14ac:dyDescent="0.3">
      <c r="C28" s="59" t="s">
        <v>17</v>
      </c>
      <c r="D28" s="59"/>
      <c r="E28" s="59"/>
    </row>
    <row r="29" spans="2:5" x14ac:dyDescent="0.3">
      <c r="B29" s="1" t="s">
        <v>5</v>
      </c>
      <c r="C29" s="19">
        <f t="array" ref="C29:E29">Unit_Vector(C14:E14-C5:E5)</f>
        <v>-0.40216067051016863</v>
      </c>
      <c r="D29" s="19">
        <v>0.84989955034482301</v>
      </c>
      <c r="E29" s="19">
        <v>0.34049603436527609</v>
      </c>
    </row>
    <row r="30" spans="2:5" x14ac:dyDescent="0.3">
      <c r="B30" s="1" t="s">
        <v>6</v>
      </c>
      <c r="C30" s="19">
        <f t="array" ref="C30:E30">Unit_Vector(C15:E15-C6:E6)</f>
        <v>0.26455725027884663</v>
      </c>
      <c r="D30" s="19">
        <v>0.84936801405313922</v>
      </c>
      <c r="E30" s="19">
        <v>0.45670935837611426</v>
      </c>
    </row>
    <row r="31" spans="2:5" x14ac:dyDescent="0.3">
      <c r="B31" s="1" t="s">
        <v>7</v>
      </c>
      <c r="C31" s="19">
        <f t="array" ref="C31:E31">Unit_Vector(C16:E16-C7:E7)</f>
        <v>-0.19413003247977711</v>
      </c>
      <c r="D31" s="19">
        <v>0.95447265969223749</v>
      </c>
      <c r="E31" s="19">
        <v>0.22648503789307331</v>
      </c>
    </row>
    <row r="32" spans="2:5" x14ac:dyDescent="0.3">
      <c r="B32" s="1" t="s">
        <v>8</v>
      </c>
      <c r="C32" s="19">
        <f t="array" ref="C32:E32">Unit_Vector(C17:E17-C8:E8)</f>
        <v>0.43746436046881881</v>
      </c>
      <c r="D32" s="19">
        <v>0.88716548626543679</v>
      </c>
      <c r="E32" s="19">
        <v>0.14684118393358953</v>
      </c>
    </row>
    <row r="33" spans="2:5" x14ac:dyDescent="0.3">
      <c r="B33" s="1" t="s">
        <v>9</v>
      </c>
      <c r="C33" s="19">
        <f t="array" ref="C33:E33">Unit_Vector(C18:E18-C9:E9)</f>
        <v>-5.6798702777881106E-2</v>
      </c>
      <c r="D33" s="19">
        <v>0.72418346041798409</v>
      </c>
      <c r="E33" s="19">
        <v>0.68726430361236146</v>
      </c>
    </row>
    <row r="34" spans="2:5" x14ac:dyDescent="0.3">
      <c r="B34" s="1" t="s">
        <v>10</v>
      </c>
      <c r="C34" s="19">
        <f t="array" ref="C34:E34">Unit_Vector(C19:E19-C10:E10)</f>
        <v>0</v>
      </c>
      <c r="D34" s="19">
        <v>0.99868766347658855</v>
      </c>
      <c r="E34" s="19">
        <v>5.121475197315839E-2</v>
      </c>
    </row>
    <row r="36" spans="2:5" x14ac:dyDescent="0.3">
      <c r="C36" s="58" t="s">
        <v>18</v>
      </c>
      <c r="D36" s="58"/>
      <c r="E36" s="58"/>
    </row>
    <row r="37" spans="2:5" x14ac:dyDescent="0.3">
      <c r="C37" s="58"/>
      <c r="D37" s="58"/>
      <c r="E37" s="58"/>
    </row>
    <row r="38" spans="2:5" x14ac:dyDescent="0.3">
      <c r="B38" s="58" t="s">
        <v>19</v>
      </c>
      <c r="C38" s="58">
        <v>0</v>
      </c>
      <c r="D38" s="58">
        <v>0</v>
      </c>
      <c r="E38" s="58">
        <v>0</v>
      </c>
    </row>
    <row r="39" spans="2:5" x14ac:dyDescent="0.3">
      <c r="B39" s="58"/>
      <c r="C39" s="58"/>
      <c r="D39" s="58"/>
      <c r="E39" s="58"/>
    </row>
    <row r="41" spans="2:5" x14ac:dyDescent="0.3">
      <c r="B41" s="1" t="s">
        <v>5</v>
      </c>
      <c r="C41" s="20">
        <f>C5-C$38</f>
        <v>-460</v>
      </c>
      <c r="D41" s="20">
        <f t="shared" ref="D41:E41" si="0">D5-D$38</f>
        <v>188</v>
      </c>
      <c r="E41" s="20">
        <f t="shared" si="0"/>
        <v>225</v>
      </c>
    </row>
    <row r="42" spans="2:5" x14ac:dyDescent="0.3">
      <c r="B42" s="1" t="s">
        <v>6</v>
      </c>
      <c r="C42" s="20">
        <f t="shared" ref="C42:E42" si="1">C6-C$38</f>
        <v>-705</v>
      </c>
      <c r="D42" s="20">
        <f t="shared" si="1"/>
        <v>200</v>
      </c>
      <c r="E42" s="20">
        <f t="shared" si="1"/>
        <v>188</v>
      </c>
    </row>
    <row r="43" spans="2:5" x14ac:dyDescent="0.3">
      <c r="B43" s="1" t="s">
        <v>7</v>
      </c>
      <c r="C43" s="20">
        <f t="shared" ref="C43:E43" si="2">C7-C$38</f>
        <v>-530</v>
      </c>
      <c r="D43" s="20">
        <f t="shared" si="2"/>
        <v>225</v>
      </c>
      <c r="E43" s="20">
        <f t="shared" si="2"/>
        <v>65</v>
      </c>
    </row>
    <row r="44" spans="2:5" x14ac:dyDescent="0.3">
      <c r="B44" s="1" t="s">
        <v>8</v>
      </c>
      <c r="C44" s="20">
        <f t="shared" ref="C44:E44" si="3">C8-C$38</f>
        <v>-733</v>
      </c>
      <c r="D44" s="20">
        <f t="shared" si="3"/>
        <v>230</v>
      </c>
      <c r="E44" s="20">
        <f t="shared" si="3"/>
        <v>87</v>
      </c>
    </row>
    <row r="45" spans="2:5" x14ac:dyDescent="0.3">
      <c r="B45" s="1" t="s">
        <v>9</v>
      </c>
      <c r="C45" s="20">
        <f t="shared" ref="C45:E45" si="4">C9-C$38</f>
        <v>-590</v>
      </c>
      <c r="D45" s="20">
        <f t="shared" si="4"/>
        <v>250</v>
      </c>
      <c r="E45" s="20">
        <f t="shared" si="4"/>
        <v>110</v>
      </c>
    </row>
    <row r="46" spans="2:5" x14ac:dyDescent="0.3">
      <c r="B46" s="1" t="s">
        <v>10</v>
      </c>
      <c r="C46" s="20">
        <f t="shared" ref="C46:E46" si="5">C10-C$38</f>
        <v>-500</v>
      </c>
      <c r="D46" s="20">
        <f t="shared" si="5"/>
        <v>130</v>
      </c>
      <c r="E46" s="20">
        <f t="shared" si="5"/>
        <v>180</v>
      </c>
    </row>
    <row r="47" spans="2:5" x14ac:dyDescent="0.3">
      <c r="C47"/>
      <c r="D47"/>
      <c r="E47"/>
    </row>
    <row r="48" spans="2:5" x14ac:dyDescent="0.3">
      <c r="B48" s="1" t="s">
        <v>13</v>
      </c>
      <c r="C48" s="20">
        <f>C23-C$38</f>
        <v>-587</v>
      </c>
      <c r="D48" s="20">
        <f t="shared" ref="D48:E48" si="6">D23-D$38</f>
        <v>580</v>
      </c>
      <c r="E48" s="20">
        <f t="shared" si="6"/>
        <v>0</v>
      </c>
    </row>
    <row r="49" spans="2:5" x14ac:dyDescent="0.3">
      <c r="B49" s="1" t="s">
        <v>14</v>
      </c>
      <c r="C49" s="20">
        <f t="shared" ref="C49:E49" si="7">C24-C$38</f>
        <v>-587</v>
      </c>
      <c r="D49" s="20">
        <f t="shared" si="7"/>
        <v>580</v>
      </c>
      <c r="E49" s="20">
        <f t="shared" si="7"/>
        <v>0</v>
      </c>
    </row>
    <row r="50" spans="2:5" x14ac:dyDescent="0.3">
      <c r="B50" s="1" t="s">
        <v>15</v>
      </c>
      <c r="C50" s="20">
        <f t="shared" ref="C50:E50" si="8">C25-C$38</f>
        <v>-587</v>
      </c>
      <c r="D50" s="20">
        <f t="shared" si="8"/>
        <v>580</v>
      </c>
      <c r="E50" s="20">
        <f t="shared" si="8"/>
        <v>0</v>
      </c>
    </row>
    <row r="52" spans="2:5" x14ac:dyDescent="0.3">
      <c r="C52" s="56" t="s">
        <v>20</v>
      </c>
      <c r="D52" s="57"/>
      <c r="E52" s="57"/>
    </row>
    <row r="53" spans="2:5" x14ac:dyDescent="0.3">
      <c r="C53" s="57" t="s">
        <v>21</v>
      </c>
      <c r="D53" s="57"/>
      <c r="E53" s="57"/>
    </row>
    <row r="54" spans="2:5" x14ac:dyDescent="0.3">
      <c r="B54" s="1" t="s">
        <v>22</v>
      </c>
      <c r="C54" s="1">
        <v>2</v>
      </c>
    </row>
    <row r="55" spans="2:5" x14ac:dyDescent="0.3">
      <c r="C55" s="1" t="s">
        <v>2</v>
      </c>
      <c r="D55" s="1" t="s">
        <v>3</v>
      </c>
      <c r="E55" s="1" t="s">
        <v>4</v>
      </c>
    </row>
    <row r="56" spans="2:5" x14ac:dyDescent="0.3">
      <c r="B56" s="1" t="s">
        <v>13</v>
      </c>
      <c r="C56" s="20">
        <f t="array" ref="C56">VLOOKUP($C$54, $A$87:$Q$108, 14, FALSE)</f>
        <v>0</v>
      </c>
      <c r="D56" s="55">
        <v>0</v>
      </c>
      <c r="E56" s="55">
        <v>0</v>
      </c>
    </row>
    <row r="57" spans="2:5" x14ac:dyDescent="0.3">
      <c r="B57" s="1" t="s">
        <v>14</v>
      </c>
      <c r="C57" s="55">
        <v>0</v>
      </c>
      <c r="D57" s="20">
        <f t="array" ref="D57">VLOOKUP($C$54, $A$87:$Q$108, 15, FALSE)</f>
        <v>0</v>
      </c>
      <c r="E57" s="55">
        <v>0</v>
      </c>
    </row>
    <row r="58" spans="2:5" x14ac:dyDescent="0.3">
      <c r="B58" s="1" t="s">
        <v>15</v>
      </c>
      <c r="C58" s="55">
        <v>0</v>
      </c>
      <c r="D58" s="55">
        <v>0</v>
      </c>
      <c r="E58" s="20">
        <f>VLOOKUP($C$54, $A$87:$Q$108, 16, FALSE)</f>
        <v>735.75</v>
      </c>
    </row>
    <row r="59" spans="2:5" x14ac:dyDescent="0.3">
      <c r="C59" s="1" t="s">
        <v>23</v>
      </c>
      <c r="D59" s="1" t="s">
        <v>24</v>
      </c>
      <c r="E59" s="1" t="s">
        <v>25</v>
      </c>
    </row>
    <row r="60" spans="2:5" x14ac:dyDescent="0.3">
      <c r="B60" s="1" t="s">
        <v>26</v>
      </c>
      <c r="C60" s="21">
        <f t="array" ref="C60:E60">C48:E48*C56:E56</f>
        <v>0</v>
      </c>
      <c r="D60" s="21">
        <v>0</v>
      </c>
      <c r="E60" s="21">
        <v>0</v>
      </c>
    </row>
    <row r="61" spans="2:5" x14ac:dyDescent="0.3">
      <c r="B61" s="1" t="s">
        <v>27</v>
      </c>
      <c r="C61" s="21">
        <f t="array" ref="C61:E61">C49:E49*C57:E57</f>
        <v>0</v>
      </c>
      <c r="D61" s="21">
        <v>0</v>
      </c>
      <c r="E61" s="21">
        <v>0</v>
      </c>
    </row>
    <row r="62" spans="2:5" x14ac:dyDescent="0.3">
      <c r="B62" s="1" t="s">
        <v>28</v>
      </c>
      <c r="C62" s="21">
        <f t="array" ref="C62:E62">C50:E50*C58:E58</f>
        <v>0</v>
      </c>
      <c r="D62" s="21">
        <v>0</v>
      </c>
      <c r="E62" s="21">
        <v>0</v>
      </c>
    </row>
    <row r="67" spans="2:16" x14ac:dyDescent="0.3">
      <c r="C67" s="1" t="s">
        <v>5</v>
      </c>
      <c r="D67" s="1" t="s">
        <v>6</v>
      </c>
      <c r="E67" s="1" t="s">
        <v>7</v>
      </c>
      <c r="F67" s="1" t="s">
        <v>8</v>
      </c>
      <c r="G67" s="1" t="s">
        <v>9</v>
      </c>
      <c r="H67" s="1" t="s">
        <v>10</v>
      </c>
    </row>
    <row r="68" spans="2:16" x14ac:dyDescent="0.3">
      <c r="B68" s="1" t="s">
        <v>29</v>
      </c>
      <c r="C68" s="23">
        <f t="array" ref="C68:H70">TRANSPOSE(C29:E34)</f>
        <v>-0.40216067051016863</v>
      </c>
      <c r="D68" s="23">
        <v>0.26455725027884663</v>
      </c>
      <c r="E68" s="23">
        <v>-0.19413003247977711</v>
      </c>
      <c r="F68" s="23">
        <v>0.43746436046881881</v>
      </c>
      <c r="G68" s="23">
        <v>-5.6798702777881106E-2</v>
      </c>
      <c r="H68" s="23">
        <v>0</v>
      </c>
      <c r="J68" s="13" t="s">
        <v>36</v>
      </c>
      <c r="L68" s="20">
        <f>-C56</f>
        <v>0</v>
      </c>
      <c r="O68" s="61">
        <f t="array" ref="O68:O73">MMULT(MINVERSE(C68:H73), L68:L73)</f>
        <v>-2580.432493958393</v>
      </c>
      <c r="P68" s="1" t="s">
        <v>5</v>
      </c>
    </row>
    <row r="69" spans="2:16" x14ac:dyDescent="0.3">
      <c r="B69" s="1" t="s">
        <v>30</v>
      </c>
      <c r="C69" s="24">
        <v>0.84989955034482301</v>
      </c>
      <c r="D69" s="24">
        <v>0.84936801405313922</v>
      </c>
      <c r="E69" s="24">
        <v>0.95447265969223749</v>
      </c>
      <c r="F69" s="24">
        <v>0.88716548626543679</v>
      </c>
      <c r="G69" s="24">
        <v>0.72418346041798409</v>
      </c>
      <c r="H69" s="24">
        <v>0.99868766347658855</v>
      </c>
      <c r="J69" s="14" t="s">
        <v>37</v>
      </c>
      <c r="L69" s="20">
        <f>-D57</f>
        <v>0</v>
      </c>
      <c r="O69" s="62">
        <v>3420.5487749139375</v>
      </c>
      <c r="P69" s="1" t="s">
        <v>6</v>
      </c>
    </row>
    <row r="70" spans="2:16" ht="15.6" customHeight="1" x14ac:dyDescent="0.3">
      <c r="B70" s="1" t="s">
        <v>31</v>
      </c>
      <c r="C70" s="25">
        <v>0.34049603436527609</v>
      </c>
      <c r="D70" s="25">
        <v>0.45670935837611426</v>
      </c>
      <c r="E70" s="25">
        <v>0.22648503789307331</v>
      </c>
      <c r="F70" s="25">
        <v>0.14684118393358953</v>
      </c>
      <c r="G70" s="25">
        <v>0.68726430361236146</v>
      </c>
      <c r="H70" s="25">
        <v>5.121475197315839E-2</v>
      </c>
      <c r="J70" s="14" t="s">
        <v>38</v>
      </c>
      <c r="L70" s="20">
        <f>-E58</f>
        <v>-735.75</v>
      </c>
      <c r="O70" s="62">
        <v>4768.0911041557038</v>
      </c>
      <c r="P70" s="1" t="s">
        <v>7</v>
      </c>
    </row>
    <row r="71" spans="2:16" x14ac:dyDescent="0.3">
      <c r="B71" s="1" t="s">
        <v>32</v>
      </c>
      <c r="C71" s="26">
        <f t="array" ref="C71:C73">TRANSPOSE(cross_product(C41:E41,C29:E29))</f>
        <v>-127.21414436691327</v>
      </c>
      <c r="D71" s="26">
        <f t="array" ref="D71:D73">TRANSPOSE(cross_product(C42:E42,C30:E30))</f>
        <v>-68.339314966767319</v>
      </c>
      <c r="E71" s="26">
        <f t="array" ref="E71:E73">TRANSPOSE(cross_product(C43:E43,C31:E31))</f>
        <v>-11.081589354053939</v>
      </c>
      <c r="F71" s="26">
        <f t="array" ref="F71:F73">TRANSPOSE(cross_product(C44:E44,C32:E32))</f>
        <v>-43.409925000367402</v>
      </c>
      <c r="G71" s="26">
        <f t="array" ref="G71:G73">TRANSPOSE(cross_product(C45:E45,C33:E33))</f>
        <v>92.155895257112121</v>
      </c>
      <c r="H71" s="26">
        <f t="array" ref="H71:H73">TRANSPOSE(cross_product(C46:E46,C34:E34))</f>
        <v>-173.10586166927536</v>
      </c>
      <c r="I71" s="3" t="s">
        <v>35</v>
      </c>
      <c r="J71" s="14" t="s">
        <v>39</v>
      </c>
      <c r="K71" s="2">
        <f>K75</f>
        <v>0</v>
      </c>
      <c r="L71" s="20">
        <f t="array" ref="L71">-SUM(C60:C62)</f>
        <v>0</v>
      </c>
      <c r="O71" s="62">
        <v>-2715.1351858272355</v>
      </c>
      <c r="P71" s="1" t="s">
        <v>8</v>
      </c>
    </row>
    <row r="72" spans="2:16" x14ac:dyDescent="0.3">
      <c r="B72" s="1" t="s">
        <v>33</v>
      </c>
      <c r="C72" s="27">
        <v>66.142024943239065</v>
      </c>
      <c r="D72" s="27">
        <v>371.71686070758369</v>
      </c>
      <c r="E72" s="27">
        <v>107.41861797214335</v>
      </c>
      <c r="F72" s="27">
        <v>145.69398718410838</v>
      </c>
      <c r="G72" s="27">
        <v>399.23808182572634</v>
      </c>
      <c r="H72" s="27">
        <v>25.607375986579196</v>
      </c>
      <c r="J72" s="14" t="s">
        <v>40</v>
      </c>
      <c r="L72" s="20">
        <f t="array" ref="L72">-SUM(D60:D62)</f>
        <v>0</v>
      </c>
      <c r="O72" s="62">
        <v>-3005.7925605410678</v>
      </c>
      <c r="P72" s="1" t="s">
        <v>9</v>
      </c>
    </row>
    <row r="73" spans="2:16" x14ac:dyDescent="0.3">
      <c r="B73" s="1" t="s">
        <v>34</v>
      </c>
      <c r="C73" s="22">
        <v>-315.34758710270688</v>
      </c>
      <c r="D73" s="22">
        <v>-651.71589996323246</v>
      </c>
      <c r="E73" s="22">
        <v>-462.191252328936</v>
      </c>
      <c r="F73" s="22">
        <v>-750.90910434039347</v>
      </c>
      <c r="G73" s="22">
        <v>-413.06856595214032</v>
      </c>
      <c r="H73" s="22">
        <v>-499.34383173829428</v>
      </c>
      <c r="J73" s="15" t="s">
        <v>41</v>
      </c>
      <c r="L73" s="20">
        <f t="array" ref="L73">-SUM(E60:E62)</f>
        <v>0</v>
      </c>
      <c r="O73" s="63">
        <v>-678.579941487719</v>
      </c>
      <c r="P73" s="1" t="s">
        <v>10</v>
      </c>
    </row>
    <row r="75" spans="2:16" x14ac:dyDescent="0.3">
      <c r="E75" s="16" t="s">
        <v>42</v>
      </c>
      <c r="J75" s="2" t="s">
        <v>43</v>
      </c>
      <c r="K75" s="2">
        <f>M77</f>
        <v>0</v>
      </c>
      <c r="L75" s="17" t="s">
        <v>44</v>
      </c>
      <c r="M75" s="2"/>
      <c r="N75" s="2"/>
      <c r="O75" s="18" t="s">
        <v>45</v>
      </c>
    </row>
    <row r="77" spans="2:16" x14ac:dyDescent="0.3">
      <c r="C77" s="12" t="s">
        <v>0</v>
      </c>
    </row>
    <row r="78" spans="2:16" x14ac:dyDescent="0.3">
      <c r="B78" s="1" t="s">
        <v>48</v>
      </c>
      <c r="C78" s="5">
        <v>300</v>
      </c>
      <c r="D78" s="1" t="s">
        <v>52</v>
      </c>
    </row>
    <row r="79" spans="2:16" x14ac:dyDescent="0.3">
      <c r="B79" s="1" t="s">
        <v>47</v>
      </c>
      <c r="C79" s="5">
        <v>0.3</v>
      </c>
      <c r="D79" s="1" t="s">
        <v>46</v>
      </c>
    </row>
    <row r="80" spans="2:16" x14ac:dyDescent="0.3">
      <c r="B80" s="1" t="s">
        <v>49</v>
      </c>
      <c r="C80" s="5">
        <v>1.5</v>
      </c>
      <c r="D80" s="1" t="s">
        <v>46</v>
      </c>
    </row>
    <row r="81" spans="1:26" x14ac:dyDescent="0.3">
      <c r="B81" s="1" t="s">
        <v>50</v>
      </c>
      <c r="C81" s="5">
        <v>2</v>
      </c>
      <c r="D81" s="1" t="s">
        <v>46</v>
      </c>
    </row>
    <row r="82" spans="1:26" x14ac:dyDescent="0.3">
      <c r="B82" s="1" t="s">
        <v>51</v>
      </c>
      <c r="C82" s="5">
        <v>0.24</v>
      </c>
      <c r="D82" s="1" t="s">
        <v>46</v>
      </c>
    </row>
    <row r="84" spans="1:26" x14ac:dyDescent="0.3">
      <c r="A84" s="45">
        <v>1</v>
      </c>
      <c r="B84" s="45">
        <v>2</v>
      </c>
      <c r="C84" s="45">
        <v>3</v>
      </c>
      <c r="D84" s="45">
        <v>4</v>
      </c>
      <c r="E84" s="45">
        <v>5</v>
      </c>
      <c r="F84" s="45">
        <v>6</v>
      </c>
      <c r="G84" s="45">
        <v>7</v>
      </c>
      <c r="H84" s="45">
        <v>8</v>
      </c>
      <c r="I84" s="45">
        <v>9</v>
      </c>
      <c r="J84" s="45">
        <v>10</v>
      </c>
      <c r="K84" s="45">
        <v>11</v>
      </c>
      <c r="L84" s="45">
        <v>12</v>
      </c>
      <c r="M84" s="45">
        <v>13</v>
      </c>
      <c r="N84" s="45">
        <v>14</v>
      </c>
      <c r="O84" s="45">
        <v>15</v>
      </c>
      <c r="P84" s="45">
        <v>16</v>
      </c>
      <c r="Q84" s="45">
        <v>17</v>
      </c>
    </row>
    <row r="85" spans="1:26" s="28" customFormat="1" ht="33.6" customHeight="1" x14ac:dyDescent="0.3">
      <c r="B85" s="28" t="s">
        <v>53</v>
      </c>
      <c r="C85" s="28" t="s">
        <v>54</v>
      </c>
      <c r="D85" s="28" t="s">
        <v>55</v>
      </c>
      <c r="E85" s="28" t="s">
        <v>56</v>
      </c>
      <c r="F85" s="28" t="s">
        <v>57</v>
      </c>
      <c r="G85" s="28" t="s">
        <v>58</v>
      </c>
      <c r="H85" s="28" t="s">
        <v>59</v>
      </c>
      <c r="I85" s="28" t="s">
        <v>60</v>
      </c>
      <c r="J85" s="28" t="s">
        <v>61</v>
      </c>
      <c r="K85" s="28" t="s">
        <v>62</v>
      </c>
      <c r="L85" s="28" t="s">
        <v>63</v>
      </c>
      <c r="M85" s="28" t="s">
        <v>64</v>
      </c>
      <c r="N85" s="28" t="s">
        <v>13</v>
      </c>
      <c r="O85" s="28" t="s">
        <v>14</v>
      </c>
      <c r="P85" s="28" t="s">
        <v>15</v>
      </c>
      <c r="Q85" s="28" t="s">
        <v>65</v>
      </c>
      <c r="U85" s="28" t="s">
        <v>80</v>
      </c>
      <c r="V85" s="28" t="s">
        <v>81</v>
      </c>
      <c r="W85" s="28" t="s">
        <v>82</v>
      </c>
      <c r="X85" s="28" t="s">
        <v>83</v>
      </c>
      <c r="Y85" s="28" t="s">
        <v>9</v>
      </c>
      <c r="Z85" s="28" t="s">
        <v>84</v>
      </c>
    </row>
    <row r="86" spans="1:26" x14ac:dyDescent="0.3">
      <c r="U86">
        <f t="array" ref="U86:Z86">TRANSPOSE(O68:O73)</f>
        <v>-2580.432493958393</v>
      </c>
      <c r="V86">
        <v>3420.5487749139375</v>
      </c>
      <c r="W86">
        <v>4768.0911041557038</v>
      </c>
      <c r="X86">
        <v>-2715.1351858272355</v>
      </c>
      <c r="Y86">
        <v>-3005.7925605410678</v>
      </c>
      <c r="Z86">
        <v>-678.579941487719</v>
      </c>
    </row>
    <row r="87" spans="1:26" x14ac:dyDescent="0.3">
      <c r="A87" s="45">
        <v>1</v>
      </c>
      <c r="B87" s="13" t="s">
        <v>66</v>
      </c>
      <c r="C87" s="7" t="s">
        <v>78</v>
      </c>
      <c r="D87" s="8"/>
      <c r="E87" s="8"/>
      <c r="F87" s="9"/>
      <c r="G87" s="7"/>
      <c r="H87" s="8"/>
      <c r="I87" s="8"/>
      <c r="J87" s="8"/>
      <c r="K87" s="8"/>
      <c r="L87" s="8"/>
      <c r="M87" s="9"/>
      <c r="N87" s="7">
        <v>0</v>
      </c>
      <c r="O87" s="8">
        <v>0</v>
      </c>
      <c r="P87" s="9">
        <v>0</v>
      </c>
      <c r="Q87" s="13">
        <v>0</v>
      </c>
      <c r="T87" s="1">
        <v>1</v>
      </c>
      <c r="U87" s="64">
        <f t="dataTable" ref="U87:Z108" dt2D="0" dtr="0" r1="C54"/>
        <v>0</v>
      </c>
      <c r="V87" s="65">
        <v>0</v>
      </c>
      <c r="W87" s="65">
        <v>0</v>
      </c>
      <c r="X87" s="65">
        <v>0</v>
      </c>
      <c r="Y87" s="65">
        <v>0</v>
      </c>
      <c r="Z87" s="66">
        <v>0</v>
      </c>
    </row>
    <row r="88" spans="1:26" x14ac:dyDescent="0.3">
      <c r="A88" s="45">
        <v>2</v>
      </c>
      <c r="B88" s="14" t="s">
        <v>67</v>
      </c>
      <c r="C88" s="10" t="s">
        <v>78</v>
      </c>
      <c r="F88" s="11"/>
      <c r="G88" s="10"/>
      <c r="I88" s="1">
        <f t="array" ref="I88">$C$78*E88*9.81*$C$79/$C$80</f>
        <v>0</v>
      </c>
      <c r="J88" s="1">
        <f t="array" ref="J88">$C$78*D88*9.81*$C$79/$C$81</f>
        <v>0</v>
      </c>
      <c r="K88" s="1">
        <f>P88/$C$78*9.81</f>
        <v>24.059025000000002</v>
      </c>
      <c r="L88" s="11">
        <f>$C$78*D88</f>
        <v>0</v>
      </c>
      <c r="M88" s="11">
        <f>$C$78*E88</f>
        <v>0</v>
      </c>
      <c r="N88" s="10">
        <f>K88*L88</f>
        <v>0</v>
      </c>
      <c r="O88" s="1">
        <f>K88*M88</f>
        <v>0</v>
      </c>
      <c r="P88" s="11">
        <f t="array" ref="P88">($C$78*9.81/4)+(I88+J88/2)</f>
        <v>735.75</v>
      </c>
      <c r="Q88" s="14">
        <v>0</v>
      </c>
      <c r="T88" s="1">
        <v>2</v>
      </c>
      <c r="U88" s="70">
        <v>-2580.432493958393</v>
      </c>
      <c r="V88" s="71">
        <v>3420.5487749139375</v>
      </c>
      <c r="W88" s="71">
        <v>4768.0911041557038</v>
      </c>
      <c r="X88" s="71">
        <v>-2715.1351858272355</v>
      </c>
      <c r="Y88" s="71">
        <v>-3005.7925605410678</v>
      </c>
      <c r="Z88" s="72">
        <v>-678.579941487719</v>
      </c>
    </row>
    <row r="89" spans="1:26" x14ac:dyDescent="0.3">
      <c r="A89" s="45">
        <v>3</v>
      </c>
      <c r="B89" s="29" t="s">
        <v>68</v>
      </c>
      <c r="C89" s="30" t="s">
        <v>78</v>
      </c>
      <c r="D89" s="31">
        <v>-1.25</v>
      </c>
      <c r="E89" s="32">
        <v>0</v>
      </c>
      <c r="F89" s="51"/>
      <c r="G89" s="46"/>
      <c r="H89" s="46"/>
      <c r="I89" s="51">
        <f t="array" ref="I89">$C$78*E89*9.81*$C$79/$C$80</f>
        <v>0</v>
      </c>
      <c r="J89" s="46">
        <f t="array" ref="J89">$C$78*D89*9.81*$C$79/$C$81</f>
        <v>-551.8125</v>
      </c>
      <c r="K89" s="46">
        <f t="shared" ref="K89:K108" si="9">P89/$C$78*9.81</f>
        <v>15.036890625</v>
      </c>
      <c r="L89" s="46">
        <f t="shared" ref="L89:L108" si="10">$C$78*D89</f>
        <v>-375</v>
      </c>
      <c r="M89" s="46">
        <f t="shared" ref="M89:M108" si="11">$C$78*E89</f>
        <v>0</v>
      </c>
      <c r="N89" s="51">
        <f t="shared" ref="N89:N108" si="12">K89*L89</f>
        <v>-5638.833984375</v>
      </c>
      <c r="O89" s="46">
        <f t="shared" ref="O89:O108" si="13">K89*M89</f>
        <v>0</v>
      </c>
      <c r="P89" s="52">
        <f t="array" ref="P89">($C$78*9.81/4)+(I89+J89/2)</f>
        <v>459.84375</v>
      </c>
      <c r="Q89" s="52">
        <v>0</v>
      </c>
      <c r="T89" s="1">
        <v>3</v>
      </c>
      <c r="U89" s="64">
        <v>-1593.9451674728698</v>
      </c>
      <c r="V89" s="65">
        <v>-7277.7266519658442</v>
      </c>
      <c r="W89" s="65">
        <v>-39408.205102319043</v>
      </c>
      <c r="X89" s="65">
        <v>331.56414344229051</v>
      </c>
      <c r="Y89" s="65">
        <v>15355.568197855004</v>
      </c>
      <c r="Z89" s="66">
        <v>33780.145992619116</v>
      </c>
    </row>
    <row r="90" spans="1:26" x14ac:dyDescent="0.3">
      <c r="A90" s="45">
        <v>4</v>
      </c>
      <c r="B90" s="33" t="s">
        <v>69</v>
      </c>
      <c r="C90" s="34" t="s">
        <v>78</v>
      </c>
      <c r="D90" s="35">
        <v>0</v>
      </c>
      <c r="E90" s="36">
        <v>2</v>
      </c>
      <c r="F90" s="53"/>
      <c r="G90" s="50"/>
      <c r="H90" s="50"/>
      <c r="I90" s="53">
        <f t="array" ref="I90">$C$78*E90*9.81*$C$79/$C$80</f>
        <v>1177.2</v>
      </c>
      <c r="J90" s="50">
        <f t="array" ref="J90">$C$78*D90*9.81*$C$79/$C$81</f>
        <v>0</v>
      </c>
      <c r="K90" s="50">
        <f t="shared" si="9"/>
        <v>62.553465000000003</v>
      </c>
      <c r="L90" s="50">
        <f t="shared" si="10"/>
        <v>0</v>
      </c>
      <c r="M90" s="50">
        <f t="shared" si="11"/>
        <v>600</v>
      </c>
      <c r="N90" s="53">
        <f t="shared" si="12"/>
        <v>0</v>
      </c>
      <c r="O90" s="50">
        <f t="shared" si="13"/>
        <v>37532.079000000005</v>
      </c>
      <c r="P90" s="54">
        <f t="array" ref="P90">($C$78*9.81/4)+(I90+J90/2)</f>
        <v>1912.95</v>
      </c>
      <c r="Q90" s="52">
        <v>0</v>
      </c>
      <c r="T90" s="1">
        <v>4</v>
      </c>
      <c r="U90" s="67">
        <v>215556.02888244408</v>
      </c>
      <c r="V90" s="68">
        <v>-62781.226335371641</v>
      </c>
      <c r="W90" s="68">
        <v>-81797.624652274506</v>
      </c>
      <c r="X90" s="68">
        <v>191258.92653213377</v>
      </c>
      <c r="Y90" s="68">
        <v>-66005.842089502999</v>
      </c>
      <c r="Z90" s="69">
        <v>-211490.61541692298</v>
      </c>
    </row>
    <row r="91" spans="1:26" x14ac:dyDescent="0.3">
      <c r="A91" s="45">
        <v>5</v>
      </c>
      <c r="B91" s="33" t="s">
        <v>70</v>
      </c>
      <c r="C91" s="34" t="s">
        <v>78</v>
      </c>
      <c r="D91" s="35">
        <v>0</v>
      </c>
      <c r="E91" s="36">
        <v>0</v>
      </c>
      <c r="F91" s="53"/>
      <c r="G91" s="50"/>
      <c r="H91" s="50"/>
      <c r="I91" s="53">
        <f t="array" ref="I91">$C$78*E91*9.81*$C$79/$C$80</f>
        <v>0</v>
      </c>
      <c r="J91" s="50">
        <f t="array" ref="J91">$C$78*D91*9.81*$C$79/$C$81</f>
        <v>0</v>
      </c>
      <c r="K91" s="50">
        <f t="shared" si="9"/>
        <v>24.059025000000002</v>
      </c>
      <c r="L91" s="50">
        <f t="shared" si="10"/>
        <v>0</v>
      </c>
      <c r="M91" s="50">
        <f t="shared" si="11"/>
        <v>0</v>
      </c>
      <c r="N91" s="53">
        <f t="shared" si="12"/>
        <v>0</v>
      </c>
      <c r="O91" s="50">
        <f t="shared" si="13"/>
        <v>0</v>
      </c>
      <c r="P91" s="54">
        <f t="array" ref="P91">($C$78*9.81/4)+(I91+J91/2)</f>
        <v>735.75</v>
      </c>
      <c r="Q91" s="52">
        <v>0</v>
      </c>
      <c r="T91" s="1">
        <v>5</v>
      </c>
      <c r="U91" s="67">
        <v>-2580.432493958393</v>
      </c>
      <c r="V91" s="68">
        <v>3420.5487749139375</v>
      </c>
      <c r="W91" s="68">
        <v>4768.0911041557038</v>
      </c>
      <c r="X91" s="68">
        <v>-2715.1351858272355</v>
      </c>
      <c r="Y91" s="68">
        <v>-3005.7925605410678</v>
      </c>
      <c r="Z91" s="69">
        <v>-678.579941487719</v>
      </c>
    </row>
    <row r="92" spans="1:26" x14ac:dyDescent="0.3">
      <c r="A92" s="45">
        <v>6</v>
      </c>
      <c r="B92" s="33" t="s">
        <v>71</v>
      </c>
      <c r="C92" s="34" t="s">
        <v>78</v>
      </c>
      <c r="D92" s="35">
        <v>1</v>
      </c>
      <c r="E92" s="36">
        <v>0</v>
      </c>
      <c r="F92" s="53"/>
      <c r="G92" s="50"/>
      <c r="H92" s="50"/>
      <c r="I92" s="53">
        <f t="array" ref="I92">$C$78*E92*9.81*$C$79/$C$80</f>
        <v>0</v>
      </c>
      <c r="J92" s="50">
        <f t="array" ref="J92">$C$78*D92*9.81*$C$79/$C$81</f>
        <v>441.45</v>
      </c>
      <c r="K92" s="50">
        <f t="shared" si="9"/>
        <v>31.276732500000001</v>
      </c>
      <c r="L92" s="50">
        <f t="shared" si="10"/>
        <v>300</v>
      </c>
      <c r="M92" s="50">
        <f t="shared" si="11"/>
        <v>0</v>
      </c>
      <c r="N92" s="53">
        <f t="shared" si="12"/>
        <v>9383.0197500000013</v>
      </c>
      <c r="O92" s="50">
        <f t="shared" si="13"/>
        <v>0</v>
      </c>
      <c r="P92" s="54">
        <f t="array" ref="P92">($C$78*9.81/4)+(I92+J92/2)</f>
        <v>956.47500000000002</v>
      </c>
      <c r="Q92" s="52">
        <v>0</v>
      </c>
      <c r="T92" s="1">
        <v>6</v>
      </c>
      <c r="U92" s="67">
        <v>-3385.8872771877832</v>
      </c>
      <c r="V92" s="68">
        <v>20114.221282169779</v>
      </c>
      <c r="W92" s="68">
        <v>76732.586473983247</v>
      </c>
      <c r="X92" s="68">
        <v>-6905.1390695237042</v>
      </c>
      <c r="Y92" s="68">
        <v>-32585.220072896838</v>
      </c>
      <c r="Z92" s="69">
        <v>-57798.039994799474</v>
      </c>
    </row>
    <row r="93" spans="1:26" x14ac:dyDescent="0.3">
      <c r="A93" s="45">
        <v>7</v>
      </c>
      <c r="B93" s="41" t="s">
        <v>72</v>
      </c>
      <c r="C93" s="42" t="s">
        <v>78</v>
      </c>
      <c r="D93" s="43">
        <v>-1</v>
      </c>
      <c r="E93" s="44">
        <v>1</v>
      </c>
      <c r="F93" s="53"/>
      <c r="G93" s="50"/>
      <c r="H93" s="50"/>
      <c r="I93" s="53">
        <f t="array" ref="I93">$C$78*E93*9.81*$C$79/$C$80</f>
        <v>588.6</v>
      </c>
      <c r="J93" s="50">
        <f t="array" ref="J93">$C$78*D93*9.81*$C$79/$C$81</f>
        <v>-441.45</v>
      </c>
      <c r="K93" s="50">
        <f t="shared" si="9"/>
        <v>36.088537500000001</v>
      </c>
      <c r="L93" s="50">
        <f t="shared" si="10"/>
        <v>-300</v>
      </c>
      <c r="M93" s="50">
        <f t="shared" si="11"/>
        <v>300</v>
      </c>
      <c r="N93" s="53">
        <f t="shared" si="12"/>
        <v>-10826.561250000001</v>
      </c>
      <c r="O93" s="50">
        <f t="shared" si="13"/>
        <v>10826.561250000001</v>
      </c>
      <c r="P93" s="54">
        <f t="array" ref="P93">($C$78*9.81/4)+(I93+J93/2)</f>
        <v>1103.625</v>
      </c>
      <c r="Q93" s="52">
        <v>0</v>
      </c>
      <c r="T93" s="1">
        <v>7</v>
      </c>
      <c r="U93" s="67">
        <v>60280.443616823002</v>
      </c>
      <c r="V93" s="68">
        <v>-33622.451255689055</v>
      </c>
      <c r="W93" s="68">
        <v>-101404.86344301718</v>
      </c>
      <c r="X93" s="68">
        <v>57029.258180993114</v>
      </c>
      <c r="Y93" s="68">
        <v>11795.15083553769</v>
      </c>
      <c r="Z93" s="69">
        <v>4156.3329861550164</v>
      </c>
    </row>
    <row r="94" spans="1:26" x14ac:dyDescent="0.3">
      <c r="A94" s="45">
        <v>8</v>
      </c>
      <c r="B94" s="33" t="s">
        <v>73</v>
      </c>
      <c r="C94" s="34" t="s">
        <v>78</v>
      </c>
      <c r="D94" s="35">
        <v>0.2</v>
      </c>
      <c r="E94" s="36">
        <v>1</v>
      </c>
      <c r="F94" s="53"/>
      <c r="G94" s="50"/>
      <c r="H94" s="50"/>
      <c r="I94" s="53">
        <f t="array" ref="I94">$C$78*E94*9.81*$C$79/$C$80</f>
        <v>588.6</v>
      </c>
      <c r="J94" s="50">
        <f t="array" ref="J94">$C$78*D94*9.81*$C$79/$C$81</f>
        <v>88.29</v>
      </c>
      <c r="K94" s="50">
        <f t="shared" si="9"/>
        <v>44.749786499999999</v>
      </c>
      <c r="L94" s="50">
        <f t="shared" si="10"/>
        <v>60</v>
      </c>
      <c r="M94" s="50">
        <f t="shared" si="11"/>
        <v>300</v>
      </c>
      <c r="N94" s="53">
        <f t="shared" si="12"/>
        <v>2684.9871899999998</v>
      </c>
      <c r="O94" s="50">
        <f t="shared" si="13"/>
        <v>13424.935949999999</v>
      </c>
      <c r="P94" s="54">
        <f t="array" ref="P94">($C$78*9.81/4)+(I94+J94/2)</f>
        <v>1368.4949999999999</v>
      </c>
      <c r="Q94" s="52">
        <v>0</v>
      </c>
      <c r="T94" s="1">
        <v>8</v>
      </c>
      <c r="U94" s="67">
        <v>74693.967409311692</v>
      </c>
      <c r="V94" s="68">
        <v>-14791.93372896775</v>
      </c>
      <c r="W94" s="68">
        <v>-4640.4615446394891</v>
      </c>
      <c r="X94" s="68">
        <v>64920.869261369466</v>
      </c>
      <c r="Y94" s="68">
        <v>-34611.400278579225</v>
      </c>
      <c r="Z94" s="69">
        <v>-92566.345335761362</v>
      </c>
    </row>
    <row r="95" spans="1:26" x14ac:dyDescent="0.3">
      <c r="A95" s="45">
        <v>9</v>
      </c>
      <c r="B95" s="33"/>
      <c r="C95" s="34" t="s">
        <v>78</v>
      </c>
      <c r="D95" s="35"/>
      <c r="E95" s="36"/>
      <c r="F95" s="53"/>
      <c r="G95" s="50"/>
      <c r="H95" s="50"/>
      <c r="I95" s="53">
        <f t="array" ref="I95">$C$78*E95*9.81*$C$79/$C$80</f>
        <v>0</v>
      </c>
      <c r="J95" s="50">
        <f t="array" ref="J95">$C$78*D95*9.81*$C$79/$C$81</f>
        <v>0</v>
      </c>
      <c r="K95" s="50">
        <f t="shared" si="9"/>
        <v>24.059025000000002</v>
      </c>
      <c r="L95" s="50">
        <f t="shared" si="10"/>
        <v>0</v>
      </c>
      <c r="M95" s="50">
        <f t="shared" si="11"/>
        <v>0</v>
      </c>
      <c r="N95" s="53">
        <f t="shared" si="12"/>
        <v>0</v>
      </c>
      <c r="O95" s="50">
        <f t="shared" si="13"/>
        <v>0</v>
      </c>
      <c r="P95" s="54">
        <f t="array" ref="P95">($C$78*9.81/4)+(I95+J95/2)</f>
        <v>735.75</v>
      </c>
      <c r="Q95" s="52">
        <v>0</v>
      </c>
      <c r="T95" s="1">
        <v>9</v>
      </c>
      <c r="U95" s="67">
        <v>-2580.432493958393</v>
      </c>
      <c r="V95" s="68">
        <v>3420.5487749139375</v>
      </c>
      <c r="W95" s="68">
        <v>4768.0911041557038</v>
      </c>
      <c r="X95" s="68">
        <v>-2715.1351858272355</v>
      </c>
      <c r="Y95" s="68">
        <v>-3005.7925605410678</v>
      </c>
      <c r="Z95" s="69">
        <v>-678.579941487719</v>
      </c>
    </row>
    <row r="96" spans="1:26" x14ac:dyDescent="0.3">
      <c r="A96" s="45">
        <v>10</v>
      </c>
      <c r="B96" s="33"/>
      <c r="C96" s="34" t="s">
        <v>78</v>
      </c>
      <c r="D96" s="35"/>
      <c r="E96" s="36"/>
      <c r="F96" s="53"/>
      <c r="G96" s="50"/>
      <c r="H96" s="50"/>
      <c r="I96" s="53">
        <f t="array" ref="I96">$C$78*E96*9.81*$C$79/$C$80</f>
        <v>0</v>
      </c>
      <c r="J96" s="50">
        <f t="array" ref="J96">$C$78*D96*9.81*$C$79/$C$81</f>
        <v>0</v>
      </c>
      <c r="K96" s="50">
        <f t="shared" si="9"/>
        <v>24.059025000000002</v>
      </c>
      <c r="L96" s="50">
        <f t="shared" si="10"/>
        <v>0</v>
      </c>
      <c r="M96" s="50">
        <f t="shared" si="11"/>
        <v>0</v>
      </c>
      <c r="N96" s="53">
        <f t="shared" si="12"/>
        <v>0</v>
      </c>
      <c r="O96" s="50">
        <f t="shared" si="13"/>
        <v>0</v>
      </c>
      <c r="P96" s="54">
        <f t="array" ref="P96">($C$78*9.81/4)+(I96+J96/2)</f>
        <v>735.75</v>
      </c>
      <c r="Q96" s="52">
        <v>0</v>
      </c>
      <c r="T96" s="1">
        <v>10</v>
      </c>
      <c r="U96" s="67">
        <v>-2580.432493958393</v>
      </c>
      <c r="V96" s="68">
        <v>3420.5487749139375</v>
      </c>
      <c r="W96" s="68">
        <v>4768.0911041557038</v>
      </c>
      <c r="X96" s="68">
        <v>-2715.1351858272355</v>
      </c>
      <c r="Y96" s="68">
        <v>-3005.7925605410678</v>
      </c>
      <c r="Z96" s="69">
        <v>-678.579941487719</v>
      </c>
    </row>
    <row r="97" spans="1:27" x14ac:dyDescent="0.3">
      <c r="A97" s="45">
        <v>11</v>
      </c>
      <c r="B97" s="33"/>
      <c r="C97" s="34" t="s">
        <v>78</v>
      </c>
      <c r="D97" s="35"/>
      <c r="E97" s="36"/>
      <c r="F97" s="53"/>
      <c r="G97" s="50"/>
      <c r="H97" s="50"/>
      <c r="I97" s="53">
        <f t="array" ref="I97">$C$78*E97*9.81*$C$79/$C$80</f>
        <v>0</v>
      </c>
      <c r="J97" s="50">
        <f t="array" ref="J97">$C$78*D97*9.81*$C$79/$C$81</f>
        <v>0</v>
      </c>
      <c r="K97" s="50">
        <f t="shared" si="9"/>
        <v>24.059025000000002</v>
      </c>
      <c r="L97" s="50">
        <f t="shared" si="10"/>
        <v>0</v>
      </c>
      <c r="M97" s="50">
        <f t="shared" si="11"/>
        <v>0</v>
      </c>
      <c r="N97" s="53">
        <f t="shared" si="12"/>
        <v>0</v>
      </c>
      <c r="O97" s="50">
        <f t="shared" si="13"/>
        <v>0</v>
      </c>
      <c r="P97" s="54">
        <f t="array" ref="P97">($C$78*9.81/4)+(I97+J97/2)</f>
        <v>735.75</v>
      </c>
      <c r="Q97" s="52">
        <v>0</v>
      </c>
      <c r="T97" s="1">
        <v>11</v>
      </c>
      <c r="U97" s="67">
        <v>-2580.432493958393</v>
      </c>
      <c r="V97" s="68">
        <v>3420.5487749139375</v>
      </c>
      <c r="W97" s="68">
        <v>4768.0911041557038</v>
      </c>
      <c r="X97" s="68">
        <v>-2715.1351858272355</v>
      </c>
      <c r="Y97" s="68">
        <v>-3005.7925605410678</v>
      </c>
      <c r="Z97" s="69">
        <v>-678.579941487719</v>
      </c>
    </row>
    <row r="98" spans="1:27" x14ac:dyDescent="0.3">
      <c r="A98" s="45">
        <v>12</v>
      </c>
      <c r="B98" s="37"/>
      <c r="C98" s="38" t="s">
        <v>78</v>
      </c>
      <c r="D98" s="39"/>
      <c r="E98" s="40"/>
      <c r="F98" s="53"/>
      <c r="G98" s="50"/>
      <c r="H98" s="50"/>
      <c r="I98" s="49">
        <f t="array" ref="I98">$C$78*E98*9.81*$C$79/$C$80</f>
        <v>0</v>
      </c>
      <c r="J98" s="47">
        <f t="array" ref="J98">$C$78*D98*9.81*$C$79/$C$81</f>
        <v>0</v>
      </c>
      <c r="K98" s="47">
        <f t="shared" si="9"/>
        <v>24.059025000000002</v>
      </c>
      <c r="L98" s="47">
        <f t="shared" si="10"/>
        <v>0</v>
      </c>
      <c r="M98" s="47">
        <f t="shared" si="11"/>
        <v>0</v>
      </c>
      <c r="N98" s="49">
        <f t="shared" si="12"/>
        <v>0</v>
      </c>
      <c r="O98" s="47">
        <f t="shared" si="13"/>
        <v>0</v>
      </c>
      <c r="P98" s="48">
        <f t="array" ref="P98">($C$78*9.81/4)+(I98+J98/2)</f>
        <v>735.75</v>
      </c>
      <c r="Q98" s="52">
        <v>0</v>
      </c>
      <c r="T98" s="1">
        <v>12</v>
      </c>
      <c r="U98" s="70">
        <v>-2580.432493958393</v>
      </c>
      <c r="V98" s="71">
        <v>3420.5487749139375</v>
      </c>
      <c r="W98" s="71">
        <v>4768.0911041557038</v>
      </c>
      <c r="X98" s="71">
        <v>-2715.1351858272355</v>
      </c>
      <c r="Y98" s="71">
        <v>-3005.7925605410678</v>
      </c>
      <c r="Z98" s="72">
        <v>-678.579941487719</v>
      </c>
    </row>
    <row r="99" spans="1:27" x14ac:dyDescent="0.3">
      <c r="A99" s="45">
        <v>13</v>
      </c>
      <c r="B99" s="29" t="s">
        <v>68</v>
      </c>
      <c r="C99" s="30" t="s">
        <v>79</v>
      </c>
      <c r="D99" s="31">
        <v>-1.9</v>
      </c>
      <c r="E99" s="32">
        <v>0</v>
      </c>
      <c r="F99" s="51"/>
      <c r="G99" s="46"/>
      <c r="H99" s="46"/>
      <c r="I99" s="51">
        <f t="array" ref="I99">$C$78*E99*9.81*$C$79/$C$80</f>
        <v>0</v>
      </c>
      <c r="J99" s="46">
        <f t="array" ref="J99">$C$78*D99*9.81*$C$79/$C$81</f>
        <v>-838.75500000000011</v>
      </c>
      <c r="K99" s="46">
        <f t="shared" si="9"/>
        <v>10.345380749999999</v>
      </c>
      <c r="L99" s="46">
        <f t="shared" si="10"/>
        <v>-570</v>
      </c>
      <c r="M99" s="46">
        <f t="shared" si="11"/>
        <v>0</v>
      </c>
      <c r="N99" s="51">
        <f t="shared" si="12"/>
        <v>-5896.8670274999995</v>
      </c>
      <c r="O99" s="46">
        <f t="shared" si="13"/>
        <v>0</v>
      </c>
      <c r="P99" s="52">
        <f t="array" ref="P99">($C$78*9.81/4)+(I99+J99/2)</f>
        <v>316.37249999999995</v>
      </c>
      <c r="Q99" s="52">
        <v>0</v>
      </c>
      <c r="T99" s="1">
        <v>13</v>
      </c>
      <c r="U99" s="64">
        <v>-1089.8993926873318</v>
      </c>
      <c r="V99" s="65">
        <v>-8375.5901296305583</v>
      </c>
      <c r="W99" s="65">
        <v>-42277.669738690376</v>
      </c>
      <c r="X99" s="65">
        <v>953.84074619718012</v>
      </c>
      <c r="Y99" s="65">
        <v>16730.334215125833</v>
      </c>
      <c r="Z99" s="66">
        <v>35477.655948158019</v>
      </c>
    </row>
    <row r="100" spans="1:27" x14ac:dyDescent="0.3">
      <c r="A100" s="45">
        <v>14</v>
      </c>
      <c r="B100" s="33" t="s">
        <v>69</v>
      </c>
      <c r="C100" s="34" t="s">
        <v>79</v>
      </c>
      <c r="D100" s="35">
        <v>0</v>
      </c>
      <c r="E100" s="36">
        <v>2.75</v>
      </c>
      <c r="F100" s="53"/>
      <c r="G100" s="50"/>
      <c r="H100" s="50"/>
      <c r="I100" s="53">
        <f t="array" ref="I100">$C$78*E100*9.81*$C$79/$C$80</f>
        <v>1618.6499999999999</v>
      </c>
      <c r="J100" s="50">
        <f t="array" ref="J100">$C$78*D100*9.81*$C$79/$C$81</f>
        <v>0</v>
      </c>
      <c r="K100" s="50">
        <f t="shared" si="9"/>
        <v>76.988879999999995</v>
      </c>
      <c r="L100" s="50">
        <f t="shared" si="10"/>
        <v>0</v>
      </c>
      <c r="M100" s="50">
        <f t="shared" si="11"/>
        <v>825</v>
      </c>
      <c r="N100" s="53">
        <f t="shared" si="12"/>
        <v>0</v>
      </c>
      <c r="O100" s="50">
        <f t="shared" si="13"/>
        <v>63515.825999999994</v>
      </c>
      <c r="P100" s="54">
        <f t="array" ref="P100">($C$78*9.81/4)+(I100+J100/2)</f>
        <v>2354.3999999999996</v>
      </c>
      <c r="Q100" s="52">
        <v>0</v>
      </c>
      <c r="T100" s="1">
        <v>14</v>
      </c>
      <c r="U100" s="67">
        <v>367883.64479380916</v>
      </c>
      <c r="V100" s="68">
        <v>-110349.81078975642</v>
      </c>
      <c r="W100" s="68">
        <v>-144148.45873652829</v>
      </c>
      <c r="X100" s="68">
        <v>326927.11481583439</v>
      </c>
      <c r="Y100" s="68">
        <v>-108095.24323266349</v>
      </c>
      <c r="Z100" s="69">
        <v>-357092.89939116122</v>
      </c>
    </row>
    <row r="101" spans="1:27" x14ac:dyDescent="0.3">
      <c r="A101" s="45">
        <v>15</v>
      </c>
      <c r="B101" s="33" t="s">
        <v>70</v>
      </c>
      <c r="C101" s="34" t="s">
        <v>79</v>
      </c>
      <c r="D101" s="35">
        <v>0</v>
      </c>
      <c r="E101" s="36">
        <v>0</v>
      </c>
      <c r="F101" s="53"/>
      <c r="G101" s="50"/>
      <c r="H101" s="50"/>
      <c r="I101" s="53">
        <f t="array" ref="I101">$C$78*E101*9.81*$C$79/$C$80</f>
        <v>0</v>
      </c>
      <c r="J101" s="50">
        <f t="array" ref="J101">$C$78*D101*9.81*$C$79/$C$81</f>
        <v>0</v>
      </c>
      <c r="K101" s="50">
        <f t="shared" si="9"/>
        <v>24.059025000000002</v>
      </c>
      <c r="L101" s="50">
        <f t="shared" si="10"/>
        <v>0</v>
      </c>
      <c r="M101" s="50">
        <f t="shared" si="11"/>
        <v>0</v>
      </c>
      <c r="N101" s="53">
        <f t="shared" si="12"/>
        <v>0</v>
      </c>
      <c r="O101" s="50">
        <f t="shared" si="13"/>
        <v>0</v>
      </c>
      <c r="P101" s="54">
        <f t="array" ref="P101">($C$78*9.81/4)+(I101+J101/2)</f>
        <v>735.75</v>
      </c>
      <c r="Q101" s="52">
        <v>0</v>
      </c>
      <c r="T101" s="1">
        <v>15</v>
      </c>
      <c r="U101" s="67">
        <v>-2580.432493958393</v>
      </c>
      <c r="V101" s="68">
        <v>3420.5487749139375</v>
      </c>
      <c r="W101" s="68">
        <v>4768.0911041557038</v>
      </c>
      <c r="X101" s="68">
        <v>-2715.1351858272355</v>
      </c>
      <c r="Y101" s="68">
        <v>-3005.7925605410678</v>
      </c>
      <c r="Z101" s="69">
        <v>-678.579941487719</v>
      </c>
    </row>
    <row r="102" spans="1:27" x14ac:dyDescent="0.3">
      <c r="A102" s="45">
        <v>16</v>
      </c>
      <c r="B102" s="33" t="s">
        <v>71</v>
      </c>
      <c r="C102" s="34" t="s">
        <v>79</v>
      </c>
      <c r="D102" s="35">
        <v>1.5</v>
      </c>
      <c r="E102" s="36">
        <v>0</v>
      </c>
      <c r="F102" s="53"/>
      <c r="G102" s="50"/>
      <c r="H102" s="50"/>
      <c r="I102" s="53">
        <f t="array" ref="I102">$C$78*E102*9.81*$C$79/$C$80</f>
        <v>0</v>
      </c>
      <c r="J102" s="50">
        <f t="array" ref="J102">$C$78*D102*9.81*$C$79/$C$81</f>
        <v>662.17499999999995</v>
      </c>
      <c r="K102" s="50">
        <f t="shared" si="9"/>
        <v>34.885586250000003</v>
      </c>
      <c r="L102" s="50">
        <f t="shared" si="10"/>
        <v>450</v>
      </c>
      <c r="M102" s="50">
        <f t="shared" si="11"/>
        <v>0</v>
      </c>
      <c r="N102" s="53">
        <f t="shared" si="12"/>
        <v>15698.513812500001</v>
      </c>
      <c r="O102" s="50">
        <f t="shared" si="13"/>
        <v>0</v>
      </c>
      <c r="P102" s="54">
        <f t="array" ref="P102">($C$78*9.81/4)+(I102+J102/2)</f>
        <v>1066.8375000000001</v>
      </c>
      <c r="Q102" s="52">
        <v>250</v>
      </c>
      <c r="T102" s="1">
        <v>16</v>
      </c>
      <c r="U102" s="67">
        <v>-3794.0363094828026</v>
      </c>
      <c r="V102" s="68">
        <v>31172.741591048369</v>
      </c>
      <c r="W102" s="68">
        <v>124922.65362711292</v>
      </c>
      <c r="X102" s="68">
        <v>-9584.3558181322205</v>
      </c>
      <c r="Y102" s="68">
        <v>-52338.380130954334</v>
      </c>
      <c r="Z102" s="69">
        <v>-96208.596456797444</v>
      </c>
    </row>
    <row r="103" spans="1:27" x14ac:dyDescent="0.3">
      <c r="A103" s="45">
        <v>17</v>
      </c>
      <c r="B103" s="33" t="s">
        <v>72</v>
      </c>
      <c r="C103" s="34" t="s">
        <v>79</v>
      </c>
      <c r="D103" s="35">
        <v>-0.5</v>
      </c>
      <c r="E103" s="36">
        <v>2.5</v>
      </c>
      <c r="F103" s="53"/>
      <c r="G103" s="50"/>
      <c r="H103" s="50"/>
      <c r="I103" s="53">
        <f t="array" ref="I103">$C$78*E103*9.81*$C$79/$C$80</f>
        <v>1471.5</v>
      </c>
      <c r="J103" s="50">
        <f t="array" ref="J103">$C$78*D103*9.81*$C$79/$C$81</f>
        <v>-220.72499999999999</v>
      </c>
      <c r="K103" s="50">
        <f t="shared" si="9"/>
        <v>68.568221249999993</v>
      </c>
      <c r="L103" s="50">
        <f t="shared" si="10"/>
        <v>-150</v>
      </c>
      <c r="M103" s="50">
        <f t="shared" si="11"/>
        <v>750</v>
      </c>
      <c r="N103" s="53">
        <f t="shared" si="12"/>
        <v>-10285.233187499998</v>
      </c>
      <c r="O103" s="50">
        <f t="shared" si="13"/>
        <v>51426.165937499994</v>
      </c>
      <c r="P103" s="54">
        <f t="array" ref="P103">($C$78*9.81/4)+(I103+J103/2)</f>
        <v>2096.8874999999998</v>
      </c>
      <c r="Q103" s="52">
        <v>0</v>
      </c>
      <c r="T103" s="1">
        <v>17</v>
      </c>
      <c r="U103" s="67">
        <v>297226.10786101309</v>
      </c>
      <c r="V103" s="68">
        <v>-105633.49341092972</v>
      </c>
      <c r="W103" s="68">
        <v>-192791.93096312752</v>
      </c>
      <c r="X103" s="68">
        <v>267696.07084120158</v>
      </c>
      <c r="Y103" s="68">
        <v>-56863.909982500292</v>
      </c>
      <c r="Z103" s="69">
        <v>-226910.75876123668</v>
      </c>
    </row>
    <row r="104" spans="1:27" x14ac:dyDescent="0.3">
      <c r="A104" s="45">
        <v>18</v>
      </c>
      <c r="B104" s="33" t="s">
        <v>74</v>
      </c>
      <c r="C104" s="34" t="s">
        <v>79</v>
      </c>
      <c r="D104" s="35">
        <v>0.2</v>
      </c>
      <c r="E104" s="36">
        <v>2.2000000000000002</v>
      </c>
      <c r="F104" s="53"/>
      <c r="G104" s="50"/>
      <c r="H104" s="50"/>
      <c r="I104" s="53">
        <f t="array" ref="I104">$C$78*E104*9.81*$C$79/$C$80</f>
        <v>1294.92</v>
      </c>
      <c r="J104" s="50">
        <f t="array" ref="J104">$C$78*D104*9.81*$C$79/$C$81</f>
        <v>88.29</v>
      </c>
      <c r="K104" s="50">
        <f t="shared" si="9"/>
        <v>67.846450500000003</v>
      </c>
      <c r="L104" s="50">
        <f t="shared" si="10"/>
        <v>60</v>
      </c>
      <c r="M104" s="50">
        <f t="shared" si="11"/>
        <v>660</v>
      </c>
      <c r="N104" s="53">
        <f t="shared" si="12"/>
        <v>4070.7870300000004</v>
      </c>
      <c r="O104" s="50">
        <f t="shared" si="13"/>
        <v>44778.657330000002</v>
      </c>
      <c r="P104" s="54">
        <f t="array" ref="P104">($C$78*9.81/4)+(I104+J104/2)</f>
        <v>2074.8150000000001</v>
      </c>
      <c r="Q104" s="52">
        <v>0</v>
      </c>
      <c r="T104" s="1">
        <v>18</v>
      </c>
      <c r="U104" s="67">
        <v>257889.01540707098</v>
      </c>
      <c r="V104" s="68">
        <v>-69070.13906589846</v>
      </c>
      <c r="W104" s="68">
        <v>-68334.525892847421</v>
      </c>
      <c r="X104" s="68">
        <v>227487.84791807763</v>
      </c>
      <c r="Y104" s="68">
        <v>-90344.11887988454</v>
      </c>
      <c r="Z104" s="69">
        <v>-276825.95142235863</v>
      </c>
    </row>
    <row r="105" spans="1:27" x14ac:dyDescent="0.3">
      <c r="A105" s="45">
        <v>19</v>
      </c>
      <c r="B105" s="33" t="s">
        <v>75</v>
      </c>
      <c r="C105" s="34" t="s">
        <v>79</v>
      </c>
      <c r="D105" s="35">
        <v>0</v>
      </c>
      <c r="E105" s="36">
        <v>0</v>
      </c>
      <c r="F105" s="53"/>
      <c r="G105" s="50"/>
      <c r="H105" s="50"/>
      <c r="I105" s="53">
        <f t="array" ref="I105">$C$78*E105*9.81*$C$79/$C$80</f>
        <v>0</v>
      </c>
      <c r="J105" s="50">
        <f t="array" ref="J105">$C$78*D105*9.81*$C$79/$C$81</f>
        <v>0</v>
      </c>
      <c r="K105" s="50">
        <f t="shared" si="9"/>
        <v>120.295125</v>
      </c>
      <c r="L105" s="50">
        <f t="shared" si="10"/>
        <v>0</v>
      </c>
      <c r="M105" s="50">
        <f t="shared" si="11"/>
        <v>0</v>
      </c>
      <c r="N105" s="53">
        <f t="shared" si="12"/>
        <v>0</v>
      </c>
      <c r="O105" s="50">
        <f t="shared" si="13"/>
        <v>0</v>
      </c>
      <c r="P105" s="54">
        <f>$C$78*9.81/4*5</f>
        <v>3678.75</v>
      </c>
      <c r="Q105" s="52">
        <v>0</v>
      </c>
      <c r="T105" s="1">
        <v>19</v>
      </c>
      <c r="U105" s="67">
        <v>-12902.162469791965</v>
      </c>
      <c r="V105" s="68">
        <v>17102.743874569685</v>
      </c>
      <c r="W105" s="68">
        <v>23840.45552077852</v>
      </c>
      <c r="X105" s="68">
        <v>-13575.675929136178</v>
      </c>
      <c r="Y105" s="68">
        <v>-15028.96280270534</v>
      </c>
      <c r="Z105" s="69">
        <v>-3392.8997074385952</v>
      </c>
    </row>
    <row r="106" spans="1:27" x14ac:dyDescent="0.3">
      <c r="A106" s="45">
        <v>20</v>
      </c>
      <c r="B106" s="33"/>
      <c r="C106" s="34" t="s">
        <v>79</v>
      </c>
      <c r="D106" s="35"/>
      <c r="E106" s="36"/>
      <c r="F106" s="53"/>
      <c r="G106" s="50"/>
      <c r="H106" s="50"/>
      <c r="I106" s="53">
        <f t="array" ref="I106">$C$78*E106*9.81*$C$79/$C$80</f>
        <v>0</v>
      </c>
      <c r="J106" s="50">
        <f t="array" ref="J106">$C$78*D106*9.81*$C$79/$C$81</f>
        <v>0</v>
      </c>
      <c r="K106" s="50">
        <f t="shared" si="9"/>
        <v>24.059025000000002</v>
      </c>
      <c r="L106" s="50">
        <f t="shared" si="10"/>
        <v>0</v>
      </c>
      <c r="M106" s="50">
        <f t="shared" si="11"/>
        <v>0</v>
      </c>
      <c r="N106" s="53">
        <f t="shared" si="12"/>
        <v>0</v>
      </c>
      <c r="O106" s="50">
        <f t="shared" si="13"/>
        <v>0</v>
      </c>
      <c r="P106" s="54">
        <f t="array" ref="P106">($C$78*9.81/4)+(I106+J106/2)</f>
        <v>735.75</v>
      </c>
      <c r="Q106" s="52">
        <v>0</v>
      </c>
      <c r="T106" s="1">
        <v>20</v>
      </c>
      <c r="U106" s="67">
        <v>-2580.432493958393</v>
      </c>
      <c r="V106" s="68">
        <v>3420.5487749139375</v>
      </c>
      <c r="W106" s="68">
        <v>4768.0911041557038</v>
      </c>
      <c r="X106" s="68">
        <v>-2715.1351858272355</v>
      </c>
      <c r="Y106" s="68">
        <v>-3005.7925605410678</v>
      </c>
      <c r="Z106" s="69">
        <v>-678.579941487719</v>
      </c>
    </row>
    <row r="107" spans="1:27" x14ac:dyDescent="0.3">
      <c r="A107" s="45">
        <v>21</v>
      </c>
      <c r="B107" s="33" t="s">
        <v>76</v>
      </c>
      <c r="C107" s="34" t="s">
        <v>79</v>
      </c>
      <c r="D107" s="35">
        <v>0</v>
      </c>
      <c r="E107" s="36">
        <v>-2</v>
      </c>
      <c r="F107" s="53"/>
      <c r="G107" s="50"/>
      <c r="H107" s="50"/>
      <c r="I107" s="53">
        <v>0</v>
      </c>
      <c r="J107" s="50">
        <f t="array" ref="J107">$C$78*D107*9.81*$C$79/$C$81</f>
        <v>0</v>
      </c>
      <c r="K107" s="50">
        <f t="shared" si="9"/>
        <v>24.059025000000002</v>
      </c>
      <c r="L107" s="50">
        <f t="shared" si="10"/>
        <v>0</v>
      </c>
      <c r="M107" s="50">
        <f t="shared" si="11"/>
        <v>-600</v>
      </c>
      <c r="N107" s="53">
        <f t="shared" si="12"/>
        <v>0</v>
      </c>
      <c r="O107" s="50">
        <f t="shared" si="13"/>
        <v>-14435.415000000001</v>
      </c>
      <c r="P107" s="54">
        <f t="array" ref="P107">($C$78*9.81/4)+(I107+J107/2)</f>
        <v>735.75</v>
      </c>
      <c r="Q107" s="52">
        <v>0</v>
      </c>
      <c r="T107" s="1">
        <v>21</v>
      </c>
      <c r="U107" s="67">
        <v>-88067.029942702953</v>
      </c>
      <c r="V107" s="68">
        <v>30987.723063432335</v>
      </c>
      <c r="W107" s="68">
        <v>40996.807074570825</v>
      </c>
      <c r="X107" s="68">
        <v>-78991.395960936687</v>
      </c>
      <c r="Y107" s="68">
        <v>19375.277221034397</v>
      </c>
      <c r="Z107" s="69">
        <v>79985.384508148767</v>
      </c>
    </row>
    <row r="108" spans="1:27" ht="16.8" customHeight="1" x14ac:dyDescent="0.3">
      <c r="A108" s="45">
        <v>22</v>
      </c>
      <c r="B108" s="37" t="s">
        <v>77</v>
      </c>
      <c r="C108" s="38" t="s">
        <v>79</v>
      </c>
      <c r="D108" s="39">
        <v>1.75</v>
      </c>
      <c r="E108" s="40"/>
      <c r="F108" s="49"/>
      <c r="G108" s="47"/>
      <c r="H108" s="47"/>
      <c r="I108" s="49">
        <f t="array" ref="I108">$C$78*E108*9.81*$C$79/$C$80</f>
        <v>0</v>
      </c>
      <c r="J108" s="47">
        <v>0</v>
      </c>
      <c r="K108" s="47">
        <f t="shared" si="9"/>
        <v>24.059025000000002</v>
      </c>
      <c r="L108" s="47">
        <f t="shared" si="10"/>
        <v>525</v>
      </c>
      <c r="M108" s="47">
        <f t="shared" si="11"/>
        <v>0</v>
      </c>
      <c r="N108" s="49">
        <f t="shared" si="12"/>
        <v>12630.988125000002</v>
      </c>
      <c r="O108" s="47">
        <f t="shared" si="13"/>
        <v>0</v>
      </c>
      <c r="P108" s="48">
        <f t="array" ref="P108">($C$78*9.81/4)+(I108+J108/2)</f>
        <v>735.75</v>
      </c>
      <c r="Q108" s="52">
        <v>0</v>
      </c>
      <c r="T108" s="1">
        <v>22</v>
      </c>
      <c r="U108" s="70">
        <v>-2622.6008103609129</v>
      </c>
      <c r="V108" s="71">
        <v>24511.424760196947</v>
      </c>
      <c r="W108" s="71">
        <v>99717.798079168366</v>
      </c>
      <c r="X108" s="71">
        <v>-7259.0281272960947</v>
      </c>
      <c r="Y108" s="71">
        <v>-41610.374908493788</v>
      </c>
      <c r="Z108" s="72">
        <v>-77296.118883037358</v>
      </c>
    </row>
    <row r="109" spans="1:27" x14ac:dyDescent="0.3">
      <c r="Q109" s="73" t="s">
        <v>88</v>
      </c>
      <c r="R109" s="73"/>
      <c r="S109" s="73"/>
      <c r="T109" s="1" t="s">
        <v>78</v>
      </c>
      <c r="U109" s="7">
        <f t="array" ref="U109">MIN(U87:U98,0)</f>
        <v>-3385.8872771877832</v>
      </c>
      <c r="V109" s="7">
        <f t="array" ref="V109">MIN(V87:V98,0)</f>
        <v>-62781.226335371641</v>
      </c>
      <c r="W109" s="7">
        <f t="array" ref="W109">MIN(W87:W98,0)</f>
        <v>-101404.86344301718</v>
      </c>
      <c r="X109" s="7">
        <f t="array" ref="X109">MIN(X87:X98,0)</f>
        <v>-6905.1390695237042</v>
      </c>
      <c r="Y109" s="7">
        <f t="array" ref="Y109">MIN(Y87:Y98,0)</f>
        <v>-66005.842089502999</v>
      </c>
      <c r="Z109" s="7">
        <f t="array" ref="Z109">MIN(Z87:Z98,0)</f>
        <v>-211490.61541692298</v>
      </c>
      <c r="AA109" s="1" t="s">
        <v>89</v>
      </c>
    </row>
    <row r="110" spans="1:27" x14ac:dyDescent="0.3">
      <c r="T110" s="1" t="s">
        <v>85</v>
      </c>
      <c r="U110" s="10">
        <f t="array" ref="U110">MAX(U87:U108,0)</f>
        <v>367883.64479380916</v>
      </c>
      <c r="V110" s="10">
        <f t="array" ref="V110">MAX(V87:V108,0)</f>
        <v>31172.741591048369</v>
      </c>
      <c r="W110" s="10">
        <f t="array" ref="W110">MAX(W87:W108,0)</f>
        <v>124922.65362711292</v>
      </c>
      <c r="X110" s="10">
        <f t="array" ref="X110">MAX(X87:X108,0)</f>
        <v>326927.11481583439</v>
      </c>
      <c r="Y110" s="10">
        <f t="array" ref="Y110">MAX(Y87:Y108,0)</f>
        <v>19375.277221034397</v>
      </c>
      <c r="Z110" s="10">
        <f t="array" ref="Z110">MAX(Z87:Z108,0)</f>
        <v>79985.384508148767</v>
      </c>
      <c r="AA110" s="1" t="s">
        <v>89</v>
      </c>
    </row>
    <row r="111" spans="1:27" x14ac:dyDescent="0.3">
      <c r="T111" s="1" t="s">
        <v>86</v>
      </c>
      <c r="U111" s="10">
        <f t="array" ref="U111">MAX(U87:U108,0)</f>
        <v>367883.64479380916</v>
      </c>
      <c r="V111" s="10">
        <f t="array" ref="V111">MAX(V87:V108,0)</f>
        <v>31172.741591048369</v>
      </c>
      <c r="W111" s="10">
        <f t="array" ref="W111">MAX(W87:W108,0)</f>
        <v>124922.65362711292</v>
      </c>
      <c r="X111" s="10">
        <f t="array" ref="X111">MAX(X87:X108,0)</f>
        <v>326927.11481583439</v>
      </c>
      <c r="Y111" s="10">
        <f t="array" ref="Y111">MAX(Y87:Y108,0)</f>
        <v>19375.277221034397</v>
      </c>
      <c r="Z111" s="10">
        <f t="array" ref="Z111">MAX(Z87:Z108,0)</f>
        <v>79985.384508148767</v>
      </c>
      <c r="AA111" s="1" t="s">
        <v>89</v>
      </c>
    </row>
    <row r="112" spans="1:27" x14ac:dyDescent="0.3">
      <c r="T112" s="75" t="s">
        <v>87</v>
      </c>
      <c r="U112" s="74">
        <f t="array" ref="U112">MIN(U87:U108,0)</f>
        <v>-88067.029942702953</v>
      </c>
      <c r="V112" s="74">
        <f t="array" ref="V112">MIN(V87:V108,0)</f>
        <v>-110349.81078975642</v>
      </c>
      <c r="W112" s="74">
        <f t="array" ref="W112">MIN(W87:W108,0)</f>
        <v>-192791.93096312752</v>
      </c>
      <c r="X112" s="74">
        <f t="array" ref="X112">MIN(X87:X108,0)</f>
        <v>-78991.395960936687</v>
      </c>
      <c r="Y112" s="74">
        <f t="array" ref="Y112">MIN(Y87:Y108,0)</f>
        <v>-108095.24323266349</v>
      </c>
      <c r="Z112" s="74">
        <f t="array" ref="Z112">MIN(Z87:Z108,0)</f>
        <v>-357092.89939116122</v>
      </c>
      <c r="AA112" s="1" t="s">
        <v>89</v>
      </c>
    </row>
  </sheetData>
  <mergeCells count="13">
    <mergeCell ref="C28:E28"/>
    <mergeCell ref="C2:E2"/>
    <mergeCell ref="C3:E3"/>
    <mergeCell ref="C12:E12"/>
    <mergeCell ref="C21:E22"/>
    <mergeCell ref="C27:E27"/>
    <mergeCell ref="C52:E52"/>
    <mergeCell ref="C53:E53"/>
    <mergeCell ref="C36:E37"/>
    <mergeCell ref="B38:B39"/>
    <mergeCell ref="C38:C39"/>
    <mergeCell ref="D38:D39"/>
    <mergeCell ref="E38:E39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ruhigupta0306@outlook.com</dc:creator>
  <cp:lastModifiedBy>ruhigupta0306@outlook.com</cp:lastModifiedBy>
  <dcterms:created xsi:type="dcterms:W3CDTF">2025-03-26T18:41:05Z</dcterms:created>
  <dcterms:modified xsi:type="dcterms:W3CDTF">2025-03-30T03:37:39Z</dcterms:modified>
</cp:coreProperties>
</file>